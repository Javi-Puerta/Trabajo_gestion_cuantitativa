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Deportivo Estadio\Desktop\Master Quant\Gestión de activos\Trabajo gestión cuantitativa\Trabajo_gestion_cuantitativa\Trabajo_gestion_cuantitativa\Envíos\"/>
    </mc:Choice>
  </mc:AlternateContent>
  <xr:revisionPtr revIDLastSave="0" documentId="13_ncr:1_{D99C1D2B-03A9-4F8A-BBD5-F80953E30FDA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Operativa" sheetId="1" r:id="rId1"/>
    <sheet name="Valor carter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2" l="1" a="1"/>
  <c r="A2" i="2" s="1"/>
  <c r="B2" i="2" s="1" a="1"/>
  <c r="B2" i="2" s="1"/>
  <c r="A5" i="2" l="1"/>
  <c r="A4" i="2"/>
  <c r="A3" i="2"/>
  <c r="B3" i="2" s="1" a="1"/>
  <c r="B3" i="2" s="1"/>
  <c r="B4" i="2" s="1" a="1"/>
  <c r="B4" i="2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<sst xmlns="http://schemas.openxmlformats.org/spreadsheetml/2006/main" count="188" uniqueCount="38">
  <si>
    <t>ID</t>
  </si>
  <si>
    <t>Precio</t>
  </si>
  <si>
    <t>CT</t>
  </si>
  <si>
    <t>Precio Ejecutado</t>
  </si>
  <si>
    <t>Cantidad</t>
  </si>
  <si>
    <t>ASML.AS</t>
  </si>
  <si>
    <t>ENR.DE</t>
  </si>
  <si>
    <t>BBVA.MC</t>
  </si>
  <si>
    <t>ADS.DE</t>
  </si>
  <si>
    <t>PRX.AS</t>
  </si>
  <si>
    <t>SAP.DE</t>
  </si>
  <si>
    <t>EL.PA</t>
  </si>
  <si>
    <t>RACE.MI</t>
  </si>
  <si>
    <t>WKL.AS</t>
  </si>
  <si>
    <t>BAYN.DE</t>
  </si>
  <si>
    <t>ADYEN.AS</t>
  </si>
  <si>
    <t>DBK.DE</t>
  </si>
  <si>
    <t>RHM.DE</t>
  </si>
  <si>
    <t>ARGX.BR</t>
  </si>
  <si>
    <t>AIR.PA</t>
  </si>
  <si>
    <t>ONSW.DE</t>
  </si>
  <si>
    <t>Acción</t>
  </si>
  <si>
    <t>Fecha</t>
  </si>
  <si>
    <t>COMPRA</t>
  </si>
  <si>
    <t>Valor cartera</t>
  </si>
  <si>
    <t>ENI.MI</t>
  </si>
  <si>
    <t>VENTA</t>
  </si>
  <si>
    <t>RMS.PA</t>
  </si>
  <si>
    <t>SGO.PA</t>
  </si>
  <si>
    <t>CASH</t>
  </si>
  <si>
    <t>Precio actual</t>
  </si>
  <si>
    <t>Ticker</t>
  </si>
  <si>
    <t>IFX.DE</t>
  </si>
  <si>
    <t>TTE.PA</t>
  </si>
  <si>
    <t>UCG.MI</t>
  </si>
  <si>
    <t>SAF.PA</t>
  </si>
  <si>
    <t>INGA.AS</t>
  </si>
  <si>
    <t>SAN.MC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</si>
</sst>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#,##0\ &quot;€&quot;;[Red]\-#,##0\ &quot;€&quot;"/>
    <numFmt numFmtId="8" formatCode="#,##0.00\ &quot;€&quot;;[Red]\-#,##0.00\ &quot;€&quot;"/>
  </numFmts>
  <fonts count="2" x14ac:knownFonts="1">
    <font>
      <sz val="11"/>
      <color theme="1"/>
      <name val="Amasis MT Pro"/>
      <family val="2"/>
      <scheme val="minor"/>
    </font>
    <font>
      <b/>
      <sz val="11"/>
      <color theme="0"/>
      <name val="Amasis MT Pro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6" fontId="0" fillId="0" borderId="0" xfId="0" applyNumberFormat="1"/>
    <xf numFmtId="2" fontId="0" fillId="0" borderId="0" xfId="0" applyNumberFormat="1"/>
    <xf numFmtId="14" fontId="0" fillId="0" borderId="0" xfId="0" applyNumberFormat="1"/>
    <xf numFmtId="8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5">
    <dxf>
      <numFmt numFmtId="10" formatCode="#,##0\ &quot;€&quot;;[Red]\-#,##0\ &quot;€&quot;"/>
    </dxf>
    <dxf>
      <numFmt numFmtId="0" formatCode="General"/>
    </dxf>
    <dxf>
      <numFmt numFmtId="10" formatCode="#,##0\ &quot;€&quot;;[Red]\-#,##0\ &quot;€&quot;"/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masis MT Pro"/>
        <family val="2"/>
        <scheme val="minor"/>
      </font>
      <fill>
        <patternFill patternType="solid">
          <fgColor indexed="6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3EA3D0-E1A3-419B-913B-26162BBCD494}" name="Operaciones_table" displayName="Operaciones_table" ref="A1:G89" totalsRowShown="0" headerRowDxfId="4">
  <autoFilter ref="A1:G89" xr:uid="{AF3EA3D0-E1A3-419B-913B-26162BBCD494}"/>
  <tableColumns count="7">
    <tableColumn id="1" xr3:uid="{44FA3C79-852A-4F12-92D9-096D28BC8418}" name="Fecha" dataDxfId="3"/>
    <tableColumn id="2" xr3:uid="{F91244B1-0D90-49D6-8C5E-74710714DBAE}" name="ID"/>
    <tableColumn id="3" xr3:uid="{A21132F4-DD79-4C51-BEA4-4132F3EE35CB}" name="Acción"/>
    <tableColumn id="4" xr3:uid="{6F333961-151C-4394-89A0-8580A62F023E}" name="Cantidad"/>
    <tableColumn id="5" xr3:uid="{42F80897-162E-4CCE-9055-2FE010A8018C}" name="Precio" dataDxfId="2"/>
    <tableColumn id="6" xr3:uid="{4564E466-B65B-45FE-ABC2-4D8C13865180}" name="CT" dataDxfId="1"/>
    <tableColumn id="7" xr3:uid="{D63DF80C-BC33-4512-86ED-550CC24A9DC5}" name="Precio Ejecutad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1">
  <a:themeElements>
    <a:clrScheme name="Afi_Paleta Pptx">
      <a:dk1>
        <a:srgbClr val="000000"/>
      </a:dk1>
      <a:lt1>
        <a:srgbClr val="FFFFFF"/>
      </a:lt1>
      <a:dk2>
        <a:srgbClr val="062C3F"/>
      </a:dk2>
      <a:lt2>
        <a:srgbClr val="F3F3F3"/>
      </a:lt2>
      <a:accent1>
        <a:srgbClr val="0085CA"/>
      </a:accent1>
      <a:accent2>
        <a:srgbClr val="C8DAE2"/>
      </a:accent2>
      <a:accent3>
        <a:srgbClr val="062C3F"/>
      </a:accent3>
      <a:accent4>
        <a:srgbClr val="0085CA"/>
      </a:accent4>
      <a:accent5>
        <a:srgbClr val="C8DAE2"/>
      </a:accent5>
      <a:accent6>
        <a:srgbClr val="F3F3F3"/>
      </a:accent6>
      <a:hlink>
        <a:srgbClr val="0085CA"/>
      </a:hlink>
      <a:folHlink>
        <a:srgbClr val="062C3F"/>
      </a:folHlink>
    </a:clrScheme>
    <a:fontScheme name="Afi">
      <a:majorFont>
        <a:latin typeface="Amasis MT Pro"/>
        <a:ea typeface=""/>
        <a:cs typeface=""/>
      </a:majorFont>
      <a:minorFont>
        <a:latin typeface="Amasis MT Pro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Tema1" id="{8C665CFC-4A26-4A64-A46E-48101093F6F9}" vid="{2D0FCEE1-1F36-4CC9-AE87-BB71727DB0C2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9"/>
  <sheetViews>
    <sheetView showGridLines="0" tabSelected="1" topLeftCell="A61" zoomScale="85" zoomScaleNormal="85" workbookViewId="0">
      <selection activeCell="D82" sqref="D82:D89"/>
    </sheetView>
  </sheetViews>
  <sheetFormatPr defaultRowHeight="15" x14ac:dyDescent="0.25"/>
  <cols>
    <col min="1" max="1" width="10.875" bestFit="1" customWidth="1"/>
    <col min="2" max="6" width="16.125" customWidth="1"/>
    <col min="7" max="7" width="17.75" customWidth="1"/>
    <col min="9" max="9" width="11.375" bestFit="1" customWidth="1"/>
  </cols>
  <sheetData>
    <row r="1" spans="1:9" x14ac:dyDescent="0.25">
      <c r="A1" s="1" t="s">
        <v>22</v>
      </c>
      <c r="B1" s="1" t="s">
        <v>0</v>
      </c>
      <c r="C1" s="1" t="s">
        <v>21</v>
      </c>
      <c r="D1" s="1" t="s">
        <v>4</v>
      </c>
      <c r="E1" s="1" t="s">
        <v>1</v>
      </c>
      <c r="F1" s="1" t="s">
        <v>2</v>
      </c>
      <c r="G1" s="1" t="s">
        <v>3</v>
      </c>
    </row>
    <row r="2" spans="1:9" x14ac:dyDescent="0.25">
      <c r="A2" s="4">
        <v>46092</v>
      </c>
      <c r="B2" t="s">
        <v>29</v>
      </c>
      <c r="C2" t="s">
        <v>23</v>
      </c>
      <c r="D2">
        <v>10000000</v>
      </c>
      <c r="E2" s="2">
        <v>1</v>
      </c>
      <c r="F2">
        <v>5.0000000000000001E-4</v>
      </c>
      <c r="G2" s="2">
        <v>1</v>
      </c>
      <c r="H2" s="2"/>
      <c r="I2" s="2"/>
    </row>
    <row r="3" spans="1:9" x14ac:dyDescent="0.25">
      <c r="A3" s="4">
        <v>46093</v>
      </c>
      <c r="B3" t="s">
        <v>5</v>
      </c>
      <c r="C3" t="s">
        <v>23</v>
      </c>
      <c r="D3">
        <v>564</v>
      </c>
      <c r="E3" s="2">
        <v>1180.40002441406</v>
      </c>
      <c r="F3">
        <v>5.0000000000000001E-4</v>
      </c>
      <c r="G3" s="2">
        <v>1181.5804000000001</v>
      </c>
      <c r="H3" s="2"/>
      <c r="I3" s="2"/>
    </row>
    <row r="4" spans="1:9" x14ac:dyDescent="0.25">
      <c r="A4" s="4">
        <v>46093</v>
      </c>
      <c r="B4" t="s">
        <v>6</v>
      </c>
      <c r="C4" t="s">
        <v>23</v>
      </c>
      <c r="D4">
        <v>4362</v>
      </c>
      <c r="E4" s="2">
        <v>152.64999389648401</v>
      </c>
      <c r="F4">
        <v>5.0000000000000001E-4</v>
      </c>
      <c r="G4" s="2">
        <v>152.80260000000001</v>
      </c>
      <c r="H4" s="2"/>
      <c r="I4" s="2"/>
    </row>
    <row r="5" spans="1:9" x14ac:dyDescent="0.25">
      <c r="A5" s="4">
        <v>46093</v>
      </c>
      <c r="B5" t="s">
        <v>7</v>
      </c>
      <c r="C5" t="s">
        <v>23</v>
      </c>
      <c r="D5">
        <v>36623</v>
      </c>
      <c r="E5" s="2">
        <v>18.184999465942301</v>
      </c>
      <c r="F5">
        <v>5.0000000000000001E-4</v>
      </c>
      <c r="G5" s="2">
        <v>18.203199999999999</v>
      </c>
      <c r="H5" s="2"/>
      <c r="I5" s="2"/>
    </row>
    <row r="6" spans="1:9" x14ac:dyDescent="0.25">
      <c r="A6" s="4">
        <v>46093</v>
      </c>
      <c r="B6" t="s">
        <v>8</v>
      </c>
      <c r="C6" t="s">
        <v>23</v>
      </c>
      <c r="D6">
        <v>4716</v>
      </c>
      <c r="E6" s="2">
        <v>141.19999694824199</v>
      </c>
      <c r="F6">
        <v>5.0000000000000001E-4</v>
      </c>
      <c r="G6" s="2">
        <v>141.34119999999999</v>
      </c>
      <c r="H6" s="2"/>
      <c r="I6" s="2"/>
    </row>
    <row r="7" spans="1:9" x14ac:dyDescent="0.25">
      <c r="A7" s="4">
        <v>46093</v>
      </c>
      <c r="B7" t="s">
        <v>9</v>
      </c>
      <c r="C7" t="s">
        <v>23</v>
      </c>
      <c r="D7">
        <v>14659</v>
      </c>
      <c r="E7" s="2">
        <v>45.430000305175703</v>
      </c>
      <c r="F7">
        <v>5.0000000000000001E-4</v>
      </c>
      <c r="G7" s="2">
        <v>45.4754</v>
      </c>
      <c r="H7" s="2"/>
      <c r="I7" s="2"/>
    </row>
    <row r="8" spans="1:9" x14ac:dyDescent="0.25">
      <c r="A8" s="4">
        <v>46093</v>
      </c>
      <c r="B8" t="s">
        <v>10</v>
      </c>
      <c r="C8" t="s">
        <v>23</v>
      </c>
      <c r="D8">
        <v>3987</v>
      </c>
      <c r="E8" s="2">
        <v>167.02000427246</v>
      </c>
      <c r="F8">
        <v>5.0000000000000001E-4</v>
      </c>
      <c r="G8" s="2">
        <v>167.18700000000001</v>
      </c>
      <c r="H8" s="2"/>
      <c r="I8" s="2"/>
    </row>
    <row r="9" spans="1:9" x14ac:dyDescent="0.25">
      <c r="A9" s="4">
        <v>46093</v>
      </c>
      <c r="B9" t="s">
        <v>11</v>
      </c>
      <c r="C9" t="s">
        <v>23</v>
      </c>
      <c r="D9">
        <v>3159</v>
      </c>
      <c r="E9" s="2">
        <v>210.80000305175699</v>
      </c>
      <c r="F9">
        <v>5.0000000000000001E-4</v>
      </c>
      <c r="G9" s="2">
        <v>211.01079999999999</v>
      </c>
      <c r="H9" s="2"/>
      <c r="I9" s="2"/>
    </row>
    <row r="10" spans="1:9" x14ac:dyDescent="0.25">
      <c r="A10" s="4">
        <v>46093</v>
      </c>
      <c r="B10" t="s">
        <v>12</v>
      </c>
      <c r="C10" t="s">
        <v>23</v>
      </c>
      <c r="D10">
        <v>2276</v>
      </c>
      <c r="E10" s="2">
        <v>292.600006103515</v>
      </c>
      <c r="F10">
        <v>5.0000000000000001E-4</v>
      </c>
      <c r="G10" s="2">
        <v>292.89260000000002</v>
      </c>
      <c r="H10" s="2"/>
      <c r="I10" s="2"/>
    </row>
    <row r="11" spans="1:9" x14ac:dyDescent="0.25">
      <c r="A11" s="4">
        <v>46093</v>
      </c>
      <c r="B11" t="s">
        <v>13</v>
      </c>
      <c r="C11" t="s">
        <v>23</v>
      </c>
      <c r="D11">
        <v>9919</v>
      </c>
      <c r="E11" s="2">
        <v>67.139999389648395</v>
      </c>
      <c r="F11">
        <v>5.0000000000000001E-4</v>
      </c>
      <c r="G11" s="2">
        <v>67.207099999999997</v>
      </c>
      <c r="H11" s="2"/>
      <c r="I11" s="2"/>
    </row>
    <row r="12" spans="1:9" x14ac:dyDescent="0.25">
      <c r="A12" s="4">
        <v>46093</v>
      </c>
      <c r="B12" t="s">
        <v>14</v>
      </c>
      <c r="C12" t="s">
        <v>23</v>
      </c>
      <c r="D12">
        <v>17020</v>
      </c>
      <c r="E12" s="2">
        <v>39.130001068115199</v>
      </c>
      <c r="F12">
        <v>5.0000000000000001E-4</v>
      </c>
      <c r="G12" s="2">
        <v>39.1691</v>
      </c>
      <c r="H12" s="2"/>
      <c r="I12" s="2"/>
    </row>
    <row r="13" spans="1:9" x14ac:dyDescent="0.25">
      <c r="A13" s="4">
        <v>46093</v>
      </c>
      <c r="B13" t="s">
        <v>15</v>
      </c>
      <c r="C13" t="s">
        <v>23</v>
      </c>
      <c r="D13">
        <v>726</v>
      </c>
      <c r="E13" s="2">
        <v>917.29998779296795</v>
      </c>
      <c r="F13">
        <v>5.0000000000000001E-4</v>
      </c>
      <c r="G13" s="2">
        <v>918.21730000000002</v>
      </c>
      <c r="H13" s="2"/>
      <c r="I13" s="2"/>
    </row>
    <row r="14" spans="1:9" x14ac:dyDescent="0.25">
      <c r="A14" s="4">
        <v>46093</v>
      </c>
      <c r="B14" t="s">
        <v>16</v>
      </c>
      <c r="C14" t="s">
        <v>23</v>
      </c>
      <c r="D14">
        <v>25909</v>
      </c>
      <c r="E14" s="2">
        <v>25.704999923706001</v>
      </c>
      <c r="F14">
        <v>5.0000000000000001E-4</v>
      </c>
      <c r="G14" s="2">
        <v>25.730699999999999</v>
      </c>
      <c r="H14" s="2"/>
      <c r="I14" s="2"/>
    </row>
    <row r="15" spans="1:9" x14ac:dyDescent="0.25">
      <c r="A15" s="4">
        <v>46093</v>
      </c>
      <c r="B15" t="s">
        <v>17</v>
      </c>
      <c r="C15" t="s">
        <v>23</v>
      </c>
      <c r="D15">
        <v>429</v>
      </c>
      <c r="E15" s="2">
        <v>1550.5</v>
      </c>
      <c r="F15">
        <v>5.0000000000000001E-4</v>
      </c>
      <c r="G15" s="2">
        <v>1552.0505000000001</v>
      </c>
      <c r="H15" s="2"/>
      <c r="I15" s="2"/>
    </row>
    <row r="16" spans="1:9" x14ac:dyDescent="0.25">
      <c r="A16" s="4">
        <v>46093</v>
      </c>
      <c r="B16" t="s">
        <v>18</v>
      </c>
      <c r="C16" t="s">
        <v>23</v>
      </c>
      <c r="D16">
        <v>1081</v>
      </c>
      <c r="E16" s="2">
        <v>616</v>
      </c>
      <c r="F16">
        <v>5.0000000000000001E-4</v>
      </c>
      <c r="G16" s="2">
        <v>616.61599999999999</v>
      </c>
      <c r="H16" s="2"/>
      <c r="I16" s="2"/>
    </row>
    <row r="17" spans="1:9" x14ac:dyDescent="0.25">
      <c r="A17" s="4">
        <v>46093</v>
      </c>
      <c r="B17" t="s">
        <v>19</v>
      </c>
      <c r="C17" t="s">
        <v>23</v>
      </c>
      <c r="D17">
        <v>3871</v>
      </c>
      <c r="E17" s="2">
        <v>172.03999328613199</v>
      </c>
      <c r="F17">
        <v>5.0000000000000001E-4</v>
      </c>
      <c r="G17" s="2">
        <v>172.21199999999999</v>
      </c>
      <c r="H17" s="2"/>
      <c r="I17" s="2"/>
    </row>
    <row r="18" spans="1:9" x14ac:dyDescent="0.25">
      <c r="A18" s="4">
        <v>46093</v>
      </c>
      <c r="B18" t="s">
        <v>20</v>
      </c>
      <c r="C18" t="s">
        <v>23</v>
      </c>
      <c r="D18" s="3">
        <v>366.96075312617717</v>
      </c>
      <c r="E18" s="2">
        <v>5.0297000000000001</v>
      </c>
      <c r="F18">
        <v>5.0000000000000001E-4</v>
      </c>
      <c r="G18" s="2">
        <v>5.0297000000000001</v>
      </c>
      <c r="H18" s="2"/>
      <c r="I18" s="2"/>
    </row>
    <row r="19" spans="1:9" x14ac:dyDescent="0.25">
      <c r="A19" s="4">
        <v>46101</v>
      </c>
      <c r="B19" t="s">
        <v>11</v>
      </c>
      <c r="C19" t="s">
        <v>23</v>
      </c>
      <c r="D19">
        <v>74</v>
      </c>
      <c r="E19" s="2">
        <v>194.75</v>
      </c>
      <c r="F19">
        <v>5.0000000000000001E-4</v>
      </c>
      <c r="G19" s="2">
        <v>194.847375</v>
      </c>
    </row>
    <row r="20" spans="1:9" x14ac:dyDescent="0.25">
      <c r="A20" s="4">
        <v>46101</v>
      </c>
      <c r="B20" t="s">
        <v>15</v>
      </c>
      <c r="C20" t="s">
        <v>23</v>
      </c>
      <c r="D20">
        <v>3</v>
      </c>
      <c r="E20" s="2">
        <v>863.5</v>
      </c>
      <c r="F20">
        <v>5.0000000000000001E-4</v>
      </c>
      <c r="G20" s="2">
        <v>863.93174999999997</v>
      </c>
    </row>
    <row r="21" spans="1:9" x14ac:dyDescent="0.25">
      <c r="A21" s="4">
        <v>46101</v>
      </c>
      <c r="B21" t="s">
        <v>9</v>
      </c>
      <c r="C21" t="s">
        <v>23</v>
      </c>
      <c r="D21">
        <v>1077</v>
      </c>
      <c r="E21" s="2">
        <v>40.020000457763601</v>
      </c>
      <c r="F21">
        <v>5.0000000000000001E-4</v>
      </c>
      <c r="G21" s="2">
        <v>40.040010457992501</v>
      </c>
    </row>
    <row r="22" spans="1:9" x14ac:dyDescent="0.25">
      <c r="A22" s="4">
        <v>46101</v>
      </c>
      <c r="B22" t="s">
        <v>6</v>
      </c>
      <c r="C22" t="s">
        <v>23</v>
      </c>
      <c r="D22">
        <v>112</v>
      </c>
      <c r="E22" s="2">
        <v>140.75</v>
      </c>
      <c r="F22">
        <v>5.0000000000000001E-4</v>
      </c>
      <c r="G22" s="2">
        <v>140.82037499999899</v>
      </c>
    </row>
    <row r="23" spans="1:9" x14ac:dyDescent="0.25">
      <c r="A23" s="4">
        <v>46101</v>
      </c>
      <c r="B23" t="s">
        <v>8</v>
      </c>
      <c r="C23" t="s">
        <v>23</v>
      </c>
      <c r="D23">
        <v>1</v>
      </c>
      <c r="E23" s="2">
        <v>133.5</v>
      </c>
      <c r="F23">
        <v>5.0000000000000001E-4</v>
      </c>
      <c r="G23" s="2">
        <v>133.56674999999899</v>
      </c>
    </row>
    <row r="24" spans="1:9" x14ac:dyDescent="0.25">
      <c r="A24" s="4">
        <v>46101</v>
      </c>
      <c r="B24" t="s">
        <v>12</v>
      </c>
      <c r="C24" t="s">
        <v>23</v>
      </c>
      <c r="D24">
        <v>24</v>
      </c>
      <c r="E24" s="2">
        <v>273.79998779296801</v>
      </c>
      <c r="F24">
        <v>5.0000000000000001E-4</v>
      </c>
      <c r="G24" s="2">
        <v>273.93688778686499</v>
      </c>
    </row>
    <row r="25" spans="1:9" x14ac:dyDescent="0.25">
      <c r="A25" s="4">
        <v>46101</v>
      </c>
      <c r="B25" t="s">
        <v>10</v>
      </c>
      <c r="C25" t="s">
        <v>23</v>
      </c>
      <c r="D25">
        <v>107</v>
      </c>
      <c r="E25" s="2">
        <v>153.82000732421801</v>
      </c>
      <c r="F25">
        <v>5.0000000000000001E-4</v>
      </c>
      <c r="G25" s="2">
        <v>153.89691732788</v>
      </c>
    </row>
    <row r="26" spans="1:9" x14ac:dyDescent="0.25">
      <c r="A26" s="4">
        <v>46101</v>
      </c>
      <c r="B26" t="s">
        <v>27</v>
      </c>
      <c r="C26" t="s">
        <v>23</v>
      </c>
      <c r="D26">
        <v>380</v>
      </c>
      <c r="E26" s="2">
        <v>1656</v>
      </c>
      <c r="F26">
        <v>5.0000000000000001E-4</v>
      </c>
      <c r="G26" s="2">
        <v>1656.828</v>
      </c>
    </row>
    <row r="27" spans="1:9" x14ac:dyDescent="0.25">
      <c r="A27" s="4">
        <v>46101</v>
      </c>
      <c r="B27" t="s">
        <v>25</v>
      </c>
      <c r="C27" t="s">
        <v>23</v>
      </c>
      <c r="D27">
        <v>26650</v>
      </c>
      <c r="E27" s="2">
        <v>23.620000839233398</v>
      </c>
      <c r="F27">
        <v>5.0000000000000001E-4</v>
      </c>
      <c r="G27" s="2">
        <v>23.631810839652999</v>
      </c>
    </row>
    <row r="28" spans="1:9" x14ac:dyDescent="0.25">
      <c r="A28" s="4">
        <v>46101</v>
      </c>
      <c r="B28" t="s">
        <v>28</v>
      </c>
      <c r="C28" t="s">
        <v>23</v>
      </c>
      <c r="D28">
        <v>9246</v>
      </c>
      <c r="E28" s="2">
        <v>68.080001831054602</v>
      </c>
      <c r="F28">
        <v>5.0000000000000001E-4</v>
      </c>
      <c r="G28" s="2">
        <v>68.114041831970198</v>
      </c>
    </row>
    <row r="29" spans="1:9" x14ac:dyDescent="0.25">
      <c r="A29" s="4">
        <v>46101</v>
      </c>
      <c r="B29" t="s">
        <v>13</v>
      </c>
      <c r="C29" t="s">
        <v>26</v>
      </c>
      <c r="D29">
        <v>-294</v>
      </c>
      <c r="E29" s="2">
        <v>65.440002441406193</v>
      </c>
      <c r="F29">
        <v>5.0000000000000001E-4</v>
      </c>
      <c r="G29" s="2">
        <v>65.407282440185497</v>
      </c>
    </row>
    <row r="30" spans="1:9" x14ac:dyDescent="0.25">
      <c r="A30" s="4">
        <v>46101</v>
      </c>
      <c r="B30" t="s">
        <v>18</v>
      </c>
      <c r="C30" t="s">
        <v>26</v>
      </c>
      <c r="D30">
        <v>-4</v>
      </c>
      <c r="E30" s="2">
        <v>584.79998779296795</v>
      </c>
      <c r="F30">
        <v>5.0000000000000001E-4</v>
      </c>
      <c r="G30" s="2">
        <v>584.50758779907198</v>
      </c>
      <c r="I30" s="2"/>
    </row>
    <row r="31" spans="1:9" x14ac:dyDescent="0.25">
      <c r="A31" s="4">
        <v>46101</v>
      </c>
      <c r="B31" t="s">
        <v>14</v>
      </c>
      <c r="C31" t="s">
        <v>26</v>
      </c>
      <c r="D31">
        <v>-612</v>
      </c>
      <c r="E31" s="2">
        <v>38.384998321533203</v>
      </c>
      <c r="F31">
        <v>5.0000000000000001E-4</v>
      </c>
      <c r="G31" s="2">
        <v>38.365805822372401</v>
      </c>
    </row>
    <row r="32" spans="1:9" x14ac:dyDescent="0.25">
      <c r="A32" s="4">
        <v>46101</v>
      </c>
      <c r="B32" t="s">
        <v>16</v>
      </c>
      <c r="C32" t="s">
        <v>26</v>
      </c>
      <c r="D32">
        <v>-472</v>
      </c>
      <c r="E32" s="2">
        <v>24.7600002288818</v>
      </c>
      <c r="F32">
        <v>5.0000000000000001E-4</v>
      </c>
      <c r="G32" s="2">
        <v>24.7476202287673</v>
      </c>
    </row>
    <row r="33" spans="1:7" x14ac:dyDescent="0.25">
      <c r="A33" s="4">
        <v>46101</v>
      </c>
      <c r="B33" t="s">
        <v>7</v>
      </c>
      <c r="C33" t="s">
        <v>26</v>
      </c>
      <c r="D33">
        <v>-36623</v>
      </c>
      <c r="E33" s="2">
        <v>17.924999237060501</v>
      </c>
      <c r="F33">
        <v>5.0000000000000001E-4</v>
      </c>
      <c r="G33" s="2">
        <v>17.916036737441999</v>
      </c>
    </row>
    <row r="34" spans="1:7" x14ac:dyDescent="0.25">
      <c r="A34" s="4">
        <v>46101</v>
      </c>
      <c r="B34" t="s">
        <v>17</v>
      </c>
      <c r="C34" t="s">
        <v>26</v>
      </c>
      <c r="D34">
        <v>-429</v>
      </c>
      <c r="E34" s="2">
        <v>1503</v>
      </c>
      <c r="F34">
        <v>5.0000000000000001E-4</v>
      </c>
      <c r="G34" s="2">
        <v>1502.2484999999999</v>
      </c>
    </row>
    <row r="35" spans="1:7" x14ac:dyDescent="0.25">
      <c r="A35" s="4">
        <v>46101</v>
      </c>
      <c r="B35" t="s">
        <v>5</v>
      </c>
      <c r="C35" t="s">
        <v>26</v>
      </c>
      <c r="D35">
        <v>-5</v>
      </c>
      <c r="E35" s="2">
        <v>1128.19995117187</v>
      </c>
      <c r="F35">
        <v>5.0000000000000001E-4</v>
      </c>
      <c r="G35" s="2">
        <v>1127.6358511962801</v>
      </c>
    </row>
    <row r="36" spans="1:7" x14ac:dyDescent="0.25">
      <c r="A36" s="4">
        <v>46101</v>
      </c>
      <c r="B36" t="s">
        <v>19</v>
      </c>
      <c r="C36" t="s">
        <v>26</v>
      </c>
      <c r="D36">
        <v>-3871</v>
      </c>
      <c r="E36" s="2">
        <v>160.919998168945</v>
      </c>
      <c r="F36">
        <v>5.0000000000000001E-4</v>
      </c>
      <c r="G36" s="2">
        <v>160.83953816985999</v>
      </c>
    </row>
    <row r="37" spans="1:7" x14ac:dyDescent="0.25">
      <c r="A37" s="4">
        <v>46108</v>
      </c>
      <c r="B37" t="s">
        <v>32</v>
      </c>
      <c r="C37" t="s">
        <v>23</v>
      </c>
      <c r="D37">
        <v>5846</v>
      </c>
      <c r="E37" s="2">
        <v>37.430000305175703</v>
      </c>
      <c r="F37">
        <v>5.0000000000000001E-4</v>
      </c>
      <c r="G37" s="2">
        <v>37.4487153053283</v>
      </c>
    </row>
    <row r="38" spans="1:7" x14ac:dyDescent="0.25">
      <c r="A38" s="4">
        <v>46108</v>
      </c>
      <c r="B38" t="s">
        <v>25</v>
      </c>
      <c r="C38" t="s">
        <v>23</v>
      </c>
      <c r="D38">
        <v>34714</v>
      </c>
      <c r="E38" s="2">
        <v>23.924999237060501</v>
      </c>
      <c r="F38">
        <v>5.0000000000000001E-4</v>
      </c>
      <c r="G38" s="2">
        <v>23.936961736678999</v>
      </c>
    </row>
    <row r="39" spans="1:7" x14ac:dyDescent="0.25">
      <c r="A39" s="4">
        <v>46108</v>
      </c>
      <c r="B39" t="s">
        <v>5</v>
      </c>
      <c r="C39" t="s">
        <v>23</v>
      </c>
      <c r="D39">
        <v>279</v>
      </c>
      <c r="E39" s="2">
        <v>1146.40002441406</v>
      </c>
      <c r="F39">
        <v>5.0000000000000001E-4</v>
      </c>
      <c r="G39" s="2">
        <v>1146.97322442626</v>
      </c>
    </row>
    <row r="40" spans="1:7" x14ac:dyDescent="0.25">
      <c r="A40" s="4">
        <v>46108</v>
      </c>
      <c r="B40" t="s">
        <v>17</v>
      </c>
      <c r="C40" t="s">
        <v>23</v>
      </c>
      <c r="D40">
        <v>221</v>
      </c>
      <c r="E40" s="2">
        <v>1379.5</v>
      </c>
      <c r="F40">
        <v>5.0000000000000001E-4</v>
      </c>
      <c r="G40" s="2">
        <v>1380.18975</v>
      </c>
    </row>
    <row r="41" spans="1:7" x14ac:dyDescent="0.25">
      <c r="A41" s="4">
        <v>46108</v>
      </c>
      <c r="B41" t="s">
        <v>33</v>
      </c>
      <c r="C41" t="s">
        <v>23</v>
      </c>
      <c r="D41">
        <v>18700</v>
      </c>
      <c r="E41" s="2">
        <v>78.489997863769503</v>
      </c>
      <c r="F41">
        <v>5.0000000000000001E-4</v>
      </c>
      <c r="G41" s="2">
        <v>78.529242862701395</v>
      </c>
    </row>
    <row r="42" spans="1:7" x14ac:dyDescent="0.25">
      <c r="A42" s="4">
        <v>46108</v>
      </c>
      <c r="B42" t="s">
        <v>34</v>
      </c>
      <c r="C42" t="s">
        <v>23</v>
      </c>
      <c r="D42">
        <v>12173</v>
      </c>
      <c r="E42" s="2">
        <v>60.220001220703097</v>
      </c>
      <c r="F42">
        <v>5.0000000000000001E-4</v>
      </c>
      <c r="G42" s="2">
        <v>60.250111221313396</v>
      </c>
    </row>
    <row r="43" spans="1:7" x14ac:dyDescent="0.25">
      <c r="A43" s="4">
        <v>46108</v>
      </c>
      <c r="B43" t="s">
        <v>35</v>
      </c>
      <c r="C43" t="s">
        <v>23</v>
      </c>
      <c r="D43">
        <v>1724</v>
      </c>
      <c r="E43" s="2">
        <v>278.39999389648398</v>
      </c>
      <c r="F43">
        <v>5.0000000000000001E-4</v>
      </c>
      <c r="G43" s="2">
        <v>278.53919389343201</v>
      </c>
    </row>
    <row r="44" spans="1:7" x14ac:dyDescent="0.25">
      <c r="A44" s="4">
        <v>46108</v>
      </c>
      <c r="B44" t="s">
        <v>36</v>
      </c>
      <c r="C44" t="s">
        <v>23</v>
      </c>
      <c r="D44">
        <v>34709</v>
      </c>
      <c r="E44" s="2">
        <v>21.7199993133544</v>
      </c>
      <c r="F44">
        <v>5.0000000000000001E-4</v>
      </c>
      <c r="G44" s="2">
        <v>21.730859313011099</v>
      </c>
    </row>
    <row r="45" spans="1:7" x14ac:dyDescent="0.25">
      <c r="A45" s="4">
        <v>46108</v>
      </c>
      <c r="B45" t="s">
        <v>37</v>
      </c>
      <c r="C45" t="s">
        <v>23</v>
      </c>
      <c r="D45">
        <v>56041</v>
      </c>
      <c r="E45" s="2">
        <v>9.4020004272460902</v>
      </c>
      <c r="F45">
        <v>5.0000000000000001E-4</v>
      </c>
      <c r="G45" s="2">
        <v>9.4067014274597103</v>
      </c>
    </row>
    <row r="46" spans="1:7" x14ac:dyDescent="0.25">
      <c r="A46" s="4">
        <v>46108</v>
      </c>
      <c r="B46" t="s">
        <v>14</v>
      </c>
      <c r="C46" t="s">
        <v>26</v>
      </c>
      <c r="D46">
        <v>-1609</v>
      </c>
      <c r="E46" s="2">
        <v>38.259998321533203</v>
      </c>
      <c r="F46">
        <v>5.0000000000000001E-4</v>
      </c>
      <c r="G46" s="2">
        <v>38.2408683223724</v>
      </c>
    </row>
    <row r="47" spans="1:7" x14ac:dyDescent="0.25">
      <c r="A47" s="4">
        <v>46108</v>
      </c>
      <c r="B47" t="s">
        <v>28</v>
      </c>
      <c r="C47" t="s">
        <v>26</v>
      </c>
      <c r="D47">
        <v>-1553</v>
      </c>
      <c r="E47" s="2">
        <v>69.120002746582003</v>
      </c>
      <c r="F47">
        <v>5.0000000000000001E-4</v>
      </c>
      <c r="G47" s="2">
        <v>69.085442745208695</v>
      </c>
    </row>
    <row r="48" spans="1:7" x14ac:dyDescent="0.25">
      <c r="A48" s="4">
        <v>46108</v>
      </c>
      <c r="B48" t="s">
        <v>16</v>
      </c>
      <c r="C48" t="s">
        <v>26</v>
      </c>
      <c r="D48">
        <v>-13938</v>
      </c>
      <c r="E48" s="2">
        <v>24.915000915527301</v>
      </c>
      <c r="F48">
        <v>5.0000000000000001E-4</v>
      </c>
      <c r="G48" s="2">
        <v>24.902543415069498</v>
      </c>
    </row>
    <row r="49" spans="1:7" x14ac:dyDescent="0.25">
      <c r="A49" s="4">
        <v>46108</v>
      </c>
      <c r="B49" t="s">
        <v>8</v>
      </c>
      <c r="C49" t="s">
        <v>26</v>
      </c>
      <c r="D49">
        <v>-2845</v>
      </c>
      <c r="E49" s="2">
        <v>132.05000305175699</v>
      </c>
      <c r="F49">
        <v>5.0000000000000001E-4</v>
      </c>
      <c r="G49" s="2">
        <v>131.983978050231</v>
      </c>
    </row>
    <row r="50" spans="1:7" x14ac:dyDescent="0.25">
      <c r="A50" s="4">
        <v>46108</v>
      </c>
      <c r="B50" t="s">
        <v>9</v>
      </c>
      <c r="C50" t="s">
        <v>26</v>
      </c>
      <c r="D50">
        <v>-15736</v>
      </c>
      <c r="E50" s="2">
        <v>38.720001220703097</v>
      </c>
      <c r="F50">
        <v>5.0000000000000001E-4</v>
      </c>
      <c r="G50" s="2">
        <v>38.700641220092699</v>
      </c>
    </row>
    <row r="51" spans="1:7" x14ac:dyDescent="0.25">
      <c r="A51" s="4">
        <v>46108</v>
      </c>
      <c r="B51" t="s">
        <v>11</v>
      </c>
      <c r="C51" t="s">
        <v>26</v>
      </c>
      <c r="D51">
        <v>-3233</v>
      </c>
      <c r="E51" s="2">
        <v>194.80000305175699</v>
      </c>
      <c r="F51">
        <v>5.0000000000000001E-4</v>
      </c>
      <c r="G51" s="2">
        <v>194.702603050231</v>
      </c>
    </row>
    <row r="52" spans="1:7" x14ac:dyDescent="0.25">
      <c r="A52" s="4">
        <v>46108</v>
      </c>
      <c r="B52" t="s">
        <v>18</v>
      </c>
      <c r="C52" t="s">
        <v>26</v>
      </c>
      <c r="D52">
        <v>-1077</v>
      </c>
      <c r="E52" s="2">
        <v>607.40002441406205</v>
      </c>
      <c r="F52">
        <v>5.0000000000000001E-4</v>
      </c>
      <c r="G52" s="2">
        <v>607.09632440185499</v>
      </c>
    </row>
    <row r="53" spans="1:7" x14ac:dyDescent="0.25">
      <c r="A53" s="4">
        <v>46108</v>
      </c>
      <c r="B53" t="s">
        <v>27</v>
      </c>
      <c r="C53" t="s">
        <v>26</v>
      </c>
      <c r="D53">
        <v>-380</v>
      </c>
      <c r="E53" s="2">
        <v>1621.5</v>
      </c>
      <c r="F53">
        <v>5.0000000000000001E-4</v>
      </c>
      <c r="G53" s="2">
        <v>1620.6892499999999</v>
      </c>
    </row>
    <row r="54" spans="1:7" x14ac:dyDescent="0.25">
      <c r="A54" s="4">
        <v>46108</v>
      </c>
      <c r="B54" t="s">
        <v>13</v>
      </c>
      <c r="C54" t="s">
        <v>26</v>
      </c>
      <c r="D54">
        <v>-9625</v>
      </c>
      <c r="E54" s="2">
        <v>62.319999694824197</v>
      </c>
      <c r="F54">
        <v>5.0000000000000001E-4</v>
      </c>
      <c r="G54" s="2">
        <v>62.288839694976801</v>
      </c>
    </row>
    <row r="55" spans="1:7" x14ac:dyDescent="0.25">
      <c r="A55" s="4">
        <v>46108</v>
      </c>
      <c r="B55" t="s">
        <v>12</v>
      </c>
      <c r="C55" t="s">
        <v>26</v>
      </c>
      <c r="D55">
        <v>-2300</v>
      </c>
      <c r="E55" s="2">
        <v>278.29998779296801</v>
      </c>
      <c r="F55">
        <v>5.0000000000000001E-4</v>
      </c>
      <c r="G55" s="2">
        <v>278.160837799072</v>
      </c>
    </row>
    <row r="56" spans="1:7" x14ac:dyDescent="0.25">
      <c r="A56" s="4">
        <v>46108</v>
      </c>
      <c r="B56" t="s">
        <v>10</v>
      </c>
      <c r="C56" t="s">
        <v>26</v>
      </c>
      <c r="D56">
        <v>-4094</v>
      </c>
      <c r="E56" s="2">
        <v>142.55999755859301</v>
      </c>
      <c r="F56">
        <v>5.0000000000000001E-4</v>
      </c>
      <c r="G56" s="2">
        <v>142.48871755981401</v>
      </c>
    </row>
    <row r="57" spans="1:7" x14ac:dyDescent="0.25">
      <c r="A57" s="4">
        <v>46108</v>
      </c>
      <c r="B57" t="s">
        <v>15</v>
      </c>
      <c r="C57" t="s">
        <v>26</v>
      </c>
      <c r="D57">
        <v>-431</v>
      </c>
      <c r="E57" s="2">
        <v>855.5</v>
      </c>
      <c r="F57">
        <v>5.0000000000000001E-4</v>
      </c>
      <c r="G57" s="2">
        <v>855.07225000000005</v>
      </c>
    </row>
    <row r="58" spans="1:7" x14ac:dyDescent="0.25">
      <c r="A58" s="4">
        <v>46108</v>
      </c>
      <c r="B58" t="s">
        <v>6</v>
      </c>
      <c r="C58" t="s">
        <v>26</v>
      </c>
      <c r="D58">
        <v>-321</v>
      </c>
      <c r="E58" s="2">
        <v>144.39999389648401</v>
      </c>
      <c r="F58">
        <v>5.0000000000000001E-4</v>
      </c>
      <c r="G58" s="2">
        <v>144.327793899536</v>
      </c>
    </row>
    <row r="59" spans="1:7" x14ac:dyDescent="0.25">
      <c r="A59" s="4">
        <v>46115</v>
      </c>
      <c r="B59" t="s">
        <v>14</v>
      </c>
      <c r="C59" t="s">
        <v>23</v>
      </c>
      <c r="D59">
        <v>7328</v>
      </c>
      <c r="E59" s="2">
        <v>39.694999694824197</v>
      </c>
      <c r="F59">
        <v>5.0000000000000001E-4</v>
      </c>
      <c r="G59" s="2">
        <v>39.714847194671599</v>
      </c>
    </row>
    <row r="60" spans="1:7" x14ac:dyDescent="0.25">
      <c r="A60" s="4">
        <v>46115</v>
      </c>
      <c r="B60" t="s">
        <v>7</v>
      </c>
      <c r="C60" t="s">
        <v>23</v>
      </c>
      <c r="D60">
        <v>37957</v>
      </c>
      <c r="E60" s="2">
        <v>18.770000457763601</v>
      </c>
      <c r="F60">
        <v>5.0000000000000001E-4</v>
      </c>
      <c r="G60" s="2">
        <v>18.7793854579925</v>
      </c>
    </row>
    <row r="61" spans="1:7" x14ac:dyDescent="0.25">
      <c r="A61" s="4">
        <v>46115</v>
      </c>
      <c r="B61" t="s">
        <v>12</v>
      </c>
      <c r="C61" t="s">
        <v>23</v>
      </c>
      <c r="D61">
        <v>782</v>
      </c>
      <c r="E61" s="2">
        <v>295.5</v>
      </c>
      <c r="F61">
        <v>5.0000000000000001E-4</v>
      </c>
      <c r="G61" s="2">
        <v>295.64774999999997</v>
      </c>
    </row>
    <row r="62" spans="1:7" x14ac:dyDescent="0.25">
      <c r="A62" s="4">
        <v>46115</v>
      </c>
      <c r="B62" t="s">
        <v>35</v>
      </c>
      <c r="C62" t="s">
        <v>23</v>
      </c>
      <c r="D62">
        <v>246</v>
      </c>
      <c r="E62" s="2">
        <v>287.29998779296801</v>
      </c>
      <c r="F62">
        <v>5.0000000000000001E-4</v>
      </c>
      <c r="G62" s="2">
        <v>287.443637786865</v>
      </c>
    </row>
    <row r="63" spans="1:7" x14ac:dyDescent="0.25">
      <c r="A63" s="4">
        <v>46115</v>
      </c>
      <c r="B63" t="s">
        <v>5</v>
      </c>
      <c r="C63" t="s">
        <v>23</v>
      </c>
      <c r="D63">
        <v>314</v>
      </c>
      <c r="E63" s="2">
        <v>1161</v>
      </c>
      <c r="F63">
        <v>5.0000000000000001E-4</v>
      </c>
      <c r="G63" s="2">
        <v>1161.5805</v>
      </c>
    </row>
    <row r="64" spans="1:7" x14ac:dyDescent="0.25">
      <c r="A64" s="4">
        <v>46115</v>
      </c>
      <c r="B64" t="s">
        <v>8</v>
      </c>
      <c r="C64" t="s">
        <v>23</v>
      </c>
      <c r="D64">
        <v>947</v>
      </c>
      <c r="E64" s="2">
        <v>134.89999389648401</v>
      </c>
      <c r="F64">
        <v>5.0000000000000001E-4</v>
      </c>
      <c r="G64" s="2">
        <v>134.96744389343201</v>
      </c>
    </row>
    <row r="65" spans="1:7" x14ac:dyDescent="0.25">
      <c r="A65" s="4">
        <v>46115</v>
      </c>
      <c r="B65" t="s">
        <v>16</v>
      </c>
      <c r="C65" t="s">
        <v>23</v>
      </c>
      <c r="D65">
        <v>1216</v>
      </c>
      <c r="E65" s="2">
        <v>25.674999237060501</v>
      </c>
      <c r="F65">
        <v>5.0000000000000001E-4</v>
      </c>
      <c r="G65" s="2">
        <v>25.687836736678999</v>
      </c>
    </row>
    <row r="66" spans="1:7" x14ac:dyDescent="0.25">
      <c r="A66" s="4">
        <v>46115</v>
      </c>
      <c r="B66" t="s">
        <v>32</v>
      </c>
      <c r="C66" t="s">
        <v>23</v>
      </c>
      <c r="D66">
        <v>6143</v>
      </c>
      <c r="E66" s="2">
        <v>38.959999084472599</v>
      </c>
      <c r="F66">
        <v>5.0000000000000001E-4</v>
      </c>
      <c r="G66" s="2">
        <v>38.979479084014798</v>
      </c>
    </row>
    <row r="67" spans="1:7" x14ac:dyDescent="0.25">
      <c r="A67" s="4">
        <v>46115</v>
      </c>
      <c r="B67" t="s">
        <v>33</v>
      </c>
      <c r="C67" t="s">
        <v>23</v>
      </c>
      <c r="D67">
        <v>2177</v>
      </c>
      <c r="E67" s="2">
        <v>79.419998168945298</v>
      </c>
      <c r="F67">
        <v>5.0000000000000001E-4</v>
      </c>
      <c r="G67" s="2">
        <v>79.459708168029707</v>
      </c>
    </row>
    <row r="68" spans="1:7" x14ac:dyDescent="0.25">
      <c r="A68" s="4">
        <v>46115</v>
      </c>
      <c r="B68" t="s">
        <v>28</v>
      </c>
      <c r="C68" t="s">
        <v>26</v>
      </c>
      <c r="D68">
        <v>-3861</v>
      </c>
      <c r="E68" s="2">
        <v>70.519996643066406</v>
      </c>
      <c r="F68">
        <v>5.0000000000000001E-4</v>
      </c>
      <c r="G68" s="2">
        <v>70.4847366447448</v>
      </c>
    </row>
    <row r="69" spans="1:7" x14ac:dyDescent="0.25">
      <c r="A69" s="4">
        <v>46115</v>
      </c>
      <c r="B69" t="s">
        <v>6</v>
      </c>
      <c r="C69" t="s">
        <v>26</v>
      </c>
      <c r="D69">
        <v>-2461</v>
      </c>
      <c r="E69" s="2">
        <v>149.69999694824199</v>
      </c>
      <c r="F69">
        <v>5.0000000000000001E-4</v>
      </c>
      <c r="G69" s="2">
        <v>149.62514694976801</v>
      </c>
    </row>
    <row r="70" spans="1:7" x14ac:dyDescent="0.25">
      <c r="A70" s="4">
        <v>46115</v>
      </c>
      <c r="B70" t="s">
        <v>34</v>
      </c>
      <c r="C70" t="s">
        <v>26</v>
      </c>
      <c r="D70">
        <v>-12173</v>
      </c>
      <c r="E70" s="2">
        <v>62.659999847412102</v>
      </c>
      <c r="F70">
        <v>5.0000000000000001E-4</v>
      </c>
      <c r="G70" s="2">
        <v>62.628669847488403</v>
      </c>
    </row>
    <row r="71" spans="1:7" x14ac:dyDescent="0.25">
      <c r="A71" s="4">
        <v>46115</v>
      </c>
      <c r="B71" t="s">
        <v>36</v>
      </c>
      <c r="C71" t="s">
        <v>26</v>
      </c>
      <c r="D71">
        <v>-5905</v>
      </c>
      <c r="E71" s="2">
        <v>22.944999694824201</v>
      </c>
      <c r="F71">
        <v>5.0000000000000001E-4</v>
      </c>
      <c r="G71" s="2">
        <v>22.933527194976801</v>
      </c>
    </row>
    <row r="72" spans="1:7" x14ac:dyDescent="0.25">
      <c r="A72" s="4">
        <v>46115</v>
      </c>
      <c r="B72" t="s">
        <v>25</v>
      </c>
      <c r="C72" t="s">
        <v>26</v>
      </c>
      <c r="D72">
        <v>-12852</v>
      </c>
      <c r="E72" s="2">
        <v>24.684999465942301</v>
      </c>
      <c r="F72">
        <v>5.0000000000000001E-4</v>
      </c>
      <c r="G72" s="2">
        <v>24.672656966209399</v>
      </c>
    </row>
    <row r="73" spans="1:7" x14ac:dyDescent="0.25">
      <c r="A73" s="4">
        <v>46115</v>
      </c>
      <c r="B73" t="s">
        <v>17</v>
      </c>
      <c r="C73" t="s">
        <v>26</v>
      </c>
      <c r="D73">
        <v>-221</v>
      </c>
      <c r="E73" s="2">
        <v>1570.5</v>
      </c>
      <c r="F73">
        <v>5.0000000000000001E-4</v>
      </c>
      <c r="G73" s="2">
        <v>1569.7147500000001</v>
      </c>
    </row>
    <row r="74" spans="1:7" x14ac:dyDescent="0.25">
      <c r="A74" s="4">
        <v>46115</v>
      </c>
      <c r="B74" t="s">
        <v>37</v>
      </c>
      <c r="C74" t="s">
        <v>26</v>
      </c>
      <c r="D74">
        <v>-4227</v>
      </c>
      <c r="E74" s="2">
        <v>9.8140001296996999</v>
      </c>
      <c r="F74">
        <v>5.0000000000000001E-4</v>
      </c>
      <c r="G74" s="2">
        <v>9.8090931296348494</v>
      </c>
    </row>
    <row r="75" spans="1:7" x14ac:dyDescent="0.25">
      <c r="A75" s="4">
        <v>46122</v>
      </c>
      <c r="B75" t="s">
        <v>9</v>
      </c>
      <c r="C75" t="s">
        <v>23</v>
      </c>
      <c r="D75">
        <v>2584</v>
      </c>
      <c r="E75" s="2">
        <v>41.555000305175703</v>
      </c>
      <c r="F75" s="6">
        <v>2.0777500152587801E-2</v>
      </c>
      <c r="G75" s="2">
        <v>41.5757778053283</v>
      </c>
    </row>
    <row r="76" spans="1:7" x14ac:dyDescent="0.25">
      <c r="A76" s="4">
        <v>46122</v>
      </c>
      <c r="B76" t="s">
        <v>37</v>
      </c>
      <c r="C76" t="s">
        <v>23</v>
      </c>
      <c r="D76">
        <v>19597</v>
      </c>
      <c r="E76" s="2">
        <v>10.5159997940063</v>
      </c>
      <c r="F76" s="6">
        <v>5.2579998970031698E-3</v>
      </c>
      <c r="G76" s="2">
        <v>10.521257793903301</v>
      </c>
    </row>
    <row r="77" spans="1:7" x14ac:dyDescent="0.25">
      <c r="A77" s="4">
        <v>46122</v>
      </c>
      <c r="B77" t="s">
        <v>6</v>
      </c>
      <c r="C77" t="s">
        <v>23</v>
      </c>
      <c r="D77">
        <v>6951</v>
      </c>
      <c r="E77" s="2">
        <v>167.22000122070301</v>
      </c>
      <c r="F77" s="6">
        <v>8.3610000610351495E-2</v>
      </c>
      <c r="G77" s="2">
        <v>167.30361122131299</v>
      </c>
    </row>
    <row r="78" spans="1:7" x14ac:dyDescent="0.25">
      <c r="A78" s="4">
        <v>46122</v>
      </c>
      <c r="B78" t="s">
        <v>16</v>
      </c>
      <c r="C78" t="s">
        <v>23</v>
      </c>
      <c r="D78">
        <v>663</v>
      </c>
      <c r="E78" s="2">
        <v>27.709999084472599</v>
      </c>
      <c r="F78" s="6">
        <v>1.3854999542236301E-2</v>
      </c>
      <c r="G78" s="2">
        <v>27.7238540840148</v>
      </c>
    </row>
    <row r="79" spans="1:7" x14ac:dyDescent="0.25">
      <c r="A79" s="4">
        <v>46122</v>
      </c>
      <c r="B79" t="s">
        <v>8</v>
      </c>
      <c r="C79" t="s">
        <v>23</v>
      </c>
      <c r="D79">
        <v>1900</v>
      </c>
      <c r="E79" s="2">
        <v>137.80000305175699</v>
      </c>
      <c r="F79" s="6">
        <v>6.8900001525878898E-2</v>
      </c>
      <c r="G79" s="2">
        <v>137.86890305328299</v>
      </c>
    </row>
    <row r="80" spans="1:7" x14ac:dyDescent="0.25">
      <c r="A80" s="4">
        <v>46122</v>
      </c>
      <c r="B80" t="s">
        <v>33</v>
      </c>
      <c r="C80" t="s">
        <v>23</v>
      </c>
      <c r="D80">
        <v>3599</v>
      </c>
      <c r="E80" s="2">
        <v>78.610000610351506</v>
      </c>
      <c r="F80" s="6">
        <v>3.9305000305175697E-2</v>
      </c>
      <c r="G80" s="2">
        <v>78.649305610656697</v>
      </c>
    </row>
    <row r="81" spans="1:7" x14ac:dyDescent="0.25">
      <c r="A81" s="4">
        <v>46122</v>
      </c>
      <c r="B81" t="s">
        <v>14</v>
      </c>
      <c r="C81" t="s">
        <v>23</v>
      </c>
      <c r="D81">
        <v>5804</v>
      </c>
      <c r="E81" s="2">
        <v>40.119998931884702</v>
      </c>
      <c r="F81" s="6">
        <v>2.0059999465942301E-2</v>
      </c>
      <c r="G81" s="2">
        <v>40.140058931350701</v>
      </c>
    </row>
    <row r="82" spans="1:7" x14ac:dyDescent="0.25">
      <c r="A82" s="4">
        <v>46122</v>
      </c>
      <c r="B82" t="s">
        <v>25</v>
      </c>
      <c r="C82" t="s">
        <v>26</v>
      </c>
      <c r="D82">
        <v>-3328</v>
      </c>
      <c r="E82" s="2">
        <v>23.9500007629394</v>
      </c>
      <c r="F82" s="6">
        <v>1.1975000381469701E-2</v>
      </c>
      <c r="G82" s="2">
        <v>23.938025762557899</v>
      </c>
    </row>
    <row r="83" spans="1:7" x14ac:dyDescent="0.25">
      <c r="A83" s="4">
        <v>46122</v>
      </c>
      <c r="B83" t="s">
        <v>7</v>
      </c>
      <c r="C83" t="s">
        <v>26</v>
      </c>
      <c r="D83">
        <v>-36557</v>
      </c>
      <c r="E83" s="2">
        <v>19.704999923706001</v>
      </c>
      <c r="F83" s="6">
        <v>9.8524999618530198E-3</v>
      </c>
      <c r="G83" s="2">
        <v>19.695147423744199</v>
      </c>
    </row>
    <row r="84" spans="1:7" x14ac:dyDescent="0.25">
      <c r="A84" s="4">
        <v>46122</v>
      </c>
      <c r="B84" t="s">
        <v>35</v>
      </c>
      <c r="C84" t="s">
        <v>26</v>
      </c>
      <c r="D84">
        <v>-400</v>
      </c>
      <c r="E84" s="2">
        <v>313.29998779296801</v>
      </c>
      <c r="F84" s="6">
        <v>0.15664999389648401</v>
      </c>
      <c r="G84" s="2">
        <v>313.14333779907201</v>
      </c>
    </row>
    <row r="85" spans="1:7" x14ac:dyDescent="0.25">
      <c r="A85" s="4">
        <v>46122</v>
      </c>
      <c r="B85" t="s">
        <v>15</v>
      </c>
      <c r="C85" t="s">
        <v>26</v>
      </c>
      <c r="D85">
        <v>-294</v>
      </c>
      <c r="E85" s="2">
        <v>858.79998779296795</v>
      </c>
      <c r="F85" s="6">
        <v>0.42939999389648398</v>
      </c>
      <c r="G85" s="2">
        <v>858.37058779907204</v>
      </c>
    </row>
    <row r="86" spans="1:7" x14ac:dyDescent="0.25">
      <c r="A86" s="4">
        <v>46122</v>
      </c>
      <c r="B86" t="s">
        <v>28</v>
      </c>
      <c r="C86" t="s">
        <v>26</v>
      </c>
      <c r="D86">
        <v>-3049</v>
      </c>
      <c r="E86" s="2">
        <v>76</v>
      </c>
      <c r="F86" s="6">
        <v>3.7999999999999999E-2</v>
      </c>
      <c r="G86" s="2">
        <v>75.962000000000003</v>
      </c>
    </row>
    <row r="87" spans="1:7" x14ac:dyDescent="0.25">
      <c r="A87" s="4">
        <v>46122</v>
      </c>
      <c r="B87" t="s">
        <v>5</v>
      </c>
      <c r="C87" t="s">
        <v>26</v>
      </c>
      <c r="D87">
        <v>-569</v>
      </c>
      <c r="E87" s="2">
        <v>1270</v>
      </c>
      <c r="F87" s="6">
        <v>0.63500000000000001</v>
      </c>
      <c r="G87" s="2">
        <v>1269.365</v>
      </c>
    </row>
    <row r="88" spans="1:7" x14ac:dyDescent="0.25">
      <c r="A88" s="4">
        <v>46122</v>
      </c>
      <c r="B88" t="s">
        <v>32</v>
      </c>
      <c r="C88" t="s">
        <v>26</v>
      </c>
      <c r="D88">
        <v>-2481</v>
      </c>
      <c r="E88" s="2">
        <v>42.825000762939403</v>
      </c>
      <c r="F88" s="6">
        <v>2.1412500381469701E-2</v>
      </c>
      <c r="G88" s="2">
        <v>42.803588262557902</v>
      </c>
    </row>
    <row r="89" spans="1:7" x14ac:dyDescent="0.25">
      <c r="A89" s="4">
        <v>46122</v>
      </c>
      <c r="B89" t="s">
        <v>12</v>
      </c>
      <c r="C89" t="s">
        <v>26</v>
      </c>
      <c r="D89">
        <v>-115</v>
      </c>
      <c r="E89" s="2">
        <v>301.64999389648398</v>
      </c>
      <c r="F89" s="6">
        <v>0.150824996948242</v>
      </c>
      <c r="G89" s="2">
        <v>301.49916889953602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DD99D-6D96-4747-86B3-66E6AFFFF3C9}">
  <dimension ref="A1:F5"/>
  <sheetViews>
    <sheetView workbookViewId="0">
      <selection activeCell="F3" sqref="F3"/>
    </sheetView>
  </sheetViews>
  <sheetFormatPr defaultRowHeight="15" x14ac:dyDescent="0.25"/>
  <cols>
    <col min="1" max="1" width="10.875" style="4" bestFit="1" customWidth="1"/>
    <col min="2" max="2" width="14" bestFit="1" customWidth="1"/>
    <col min="5" max="5" width="11.125" bestFit="1" customWidth="1"/>
  </cols>
  <sheetData>
    <row r="1" spans="1:6" x14ac:dyDescent="0.25">
      <c r="A1" s="4" t="s">
        <v>22</v>
      </c>
      <c r="B1" t="s">
        <v>24</v>
      </c>
      <c r="E1" t="s">
        <v>22</v>
      </c>
    </row>
    <row r="2" spans="1:6" x14ac:dyDescent="0.25">
      <c r="A2" s="4" t="e" cm="1">
        <f t="array" aca="1" ref="A2:A5" ca="1">_xlfn.UNIQUE(Operaciones_table[Fecha])</f>
        <v>#NAME?</v>
      </c>
      <c r="B2" s="5" t="e" cm="1">
        <f t="array" aca="1" ref="B2" ca="1">SUMPRODUCT(_xlfn._xlws.FILTER(Operaciones_table[Cantidad],Operaciones_table[Fecha]='Valor cartera'!A2),_xlfn._xlws.FILTER(Operaciones_table[Precio],Operaciones_table[Fecha]='Valor cartera'!A2))</f>
        <v>#NAME?</v>
      </c>
      <c r="E2" t="s">
        <v>31</v>
      </c>
      <c r="F2" t="s">
        <v>30</v>
      </c>
    </row>
    <row r="3" spans="1:6" x14ac:dyDescent="0.25">
      <c r="A3" s="4" t="e">
        <f ca="1"/>
        <v>#NAME?</v>
      </c>
      <c r="B3" s="5" t="e" cm="1">
        <f t="array" aca="1" ref="B3" ca="1">SUMPRODUCT(_xlfn._xlws.FILTER(Operaciones_table[Cantidad],Operaciones_table[Fecha]=A3),_xlfn._xlws.FILTER(Operaciones_table[Precio],Operaciones_table[Fecha]=A3))</f>
        <v>#NAME?</v>
      </c>
    </row>
    <row r="4" spans="1:6" x14ac:dyDescent="0.25">
      <c r="A4" s="4" t="e">
        <f ca="1"/>
        <v>#NAME?</v>
      </c>
      <c r="B4" s="5" t="e" cm="1">
        <f t="array" aca="1" ref="B4" ca="1">B3+SUMPRODUCT(_xlfn._xlws.FILTER(Operaciones_table[Cantidad],Operaciones_table[Fecha]='Valor cartera'!A4),_xlfn._xlws.FILTER(Operaciones_table[Precio],Operaciones_table[Fecha]='Valor cartera'!A4))</f>
        <v>#NAME?</v>
      </c>
    </row>
    <row r="5" spans="1:6" x14ac:dyDescent="0.25">
      <c r="A5" s="4" t="e">
        <f ca="1"/>
        <v>#NAME?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531341d-30cb-4a25-9552-ec3aa1cf2dd5}" enabled="0" method="" siteId="{a531341d-30cb-4a25-9552-ec3aa1cf2dd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Operativa</vt:lpstr>
      <vt:lpstr>Valor cartera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María Contreras Beltrán</dc:creator>
  <cp:lastModifiedBy>Javier Puerta Gómez</cp:lastModifiedBy>
  <dcterms:created xsi:type="dcterms:W3CDTF">2015-06-05T18:17:20Z</dcterms:created>
  <dcterms:modified xsi:type="dcterms:W3CDTF">2026-04-10T17:08:54Z</dcterms:modified>
</cp:coreProperties>
</file>