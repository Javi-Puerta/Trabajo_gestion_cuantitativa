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portivo Estadio\Desktop\Master Quant\Gestión de activos\Trabajo gestión cuantitativa\Trabajo_gestion_cuantitativa\Trabajo_gestion_cuantitativa\Envíos\"/>
    </mc:Choice>
  </mc:AlternateContent>
  <xr:revisionPtr revIDLastSave="0" documentId="13_ncr:1_{A599AE5F-EC26-4E6F-B9B5-628D0FE8F6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perativa" sheetId="1" r:id="rId1"/>
    <sheet name="Valor carter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 a="1"/>
  <c r="A2" i="2" s="1"/>
  <c r="B2" i="2" s="1" a="1"/>
  <c r="B2" i="2" s="1"/>
  <c r="A5" i="2" l="1"/>
  <c r="A4" i="2"/>
  <c r="A3" i="2"/>
  <c r="B3" i="2" s="1" a="1"/>
  <c r="B3" i="2" s="1"/>
  <c r="B4" i="2" s="1" a="1"/>
  <c r="B4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<sst xmlns="http://schemas.openxmlformats.org/spreadsheetml/2006/main" count="224" uniqueCount="39">
  <si>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</si>
  <si>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</si>
  <si>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</si>
  <si>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</si>
  <si>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</si>
  <si>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</si>
  <si>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</si>
  <si>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</si>
  <si>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</si>
  <si>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</si>
  <si>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</si>
  <si>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</si>
  <si>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</si>
  <si>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</si>
  <si>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</si>
  <si>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</si>
  <si>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</si>
  <si>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</si>
  <si>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</si>
  <si>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</si>
  <si>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</si>
  <si>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</si>
  <si>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</si>
  <si>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</si>
  <si>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</si>
  <si>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</si>
  <si>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</si>
  <si>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</si>
  <si>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</si>
  <si>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</si>
  <si>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</si>
  <si>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</si>
  <si>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</si>
  <si>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</si>
  <si>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</si>
  <si>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</si>
  <si>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</si>
  <si>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</si>
  <si>
    <t>ITX.MC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</si>
</sst>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10" formatCode="#,##0\ &quot;€&quot;;[Red]\-#,##0\ &quot;€&quot;"/>
    </dxf>
    <dxf>
      <numFmt numFmtId="0" formatCode="General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G107" totalsRowShown="0" headerRowDxfId="4">
  <autoFilter ref="A1:G107" xr:uid="{AF3EA3D0-E1A3-419B-913B-26162BBCD494}"/>
  <tableColumns count="7">
    <tableColumn id="1" xr3:uid="{44FA3C79-852A-4F12-92D9-096D28BC8418}" name="Fecha" dataDxfId="3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2"/>
    <tableColumn id="6" xr3:uid="{4564E466-B65B-45FE-ABC2-4D8C13865180}" name="CT" dataDxfId="1"/>
    <tableColumn id="7" xr3:uid="{D63DF80C-BC33-4512-86ED-550CC24A9DC5}" name="Precio Ejecu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7"/>
  <sheetViews>
    <sheetView showGridLines="0" tabSelected="1" topLeftCell="A72" zoomScale="85" zoomScaleNormal="85" workbookViewId="0">
      <selection activeCell="D98" sqref="D98"/>
    </sheetView>
  </sheetViews>
  <sheetFormatPr defaultRowHeight="15" x14ac:dyDescent="0.25"/>
  <cols>
    <col min="1" max="1" width="10.875" bestFit="1" customWidth="1"/>
    <col min="2" max="6" width="16.125" customWidth="1"/>
    <col min="7" max="7" width="17.75" customWidth="1"/>
    <col min="9" max="9" width="11.375" bestFit="1" customWidth="1"/>
  </cols>
  <sheetData>
    <row r="1" spans="1:9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</row>
    <row r="2" spans="1:9" x14ac:dyDescent="0.25">
      <c r="A2" s="4">
        <v>46092</v>
      </c>
      <c r="B2" t="s">
        <v>29</v>
      </c>
      <c r="C2" t="s">
        <v>23</v>
      </c>
      <c r="D2">
        <v>10000000</v>
      </c>
      <c r="E2" s="2">
        <v>1</v>
      </c>
      <c r="F2">
        <v>5.0000000000000001E-4</v>
      </c>
      <c r="G2" s="2">
        <v>1</v>
      </c>
      <c r="H2" s="2"/>
      <c r="I2" s="2"/>
    </row>
    <row r="3" spans="1:9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>
        <v>5.0000000000000001E-4</v>
      </c>
      <c r="G3" s="2">
        <v>1181.5804000000001</v>
      </c>
      <c r="H3" s="2"/>
      <c r="I3" s="2"/>
    </row>
    <row r="4" spans="1:9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>
        <v>5.0000000000000001E-4</v>
      </c>
      <c r="G4" s="2">
        <v>152.80260000000001</v>
      </c>
      <c r="H4" s="2"/>
      <c r="I4" s="2"/>
    </row>
    <row r="5" spans="1:9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>
        <v>5.0000000000000001E-4</v>
      </c>
      <c r="G5" s="2">
        <v>18.203199999999999</v>
      </c>
      <c r="H5" s="2"/>
      <c r="I5" s="2"/>
    </row>
    <row r="6" spans="1:9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>
        <v>5.0000000000000001E-4</v>
      </c>
      <c r="G6" s="2">
        <v>141.34119999999999</v>
      </c>
      <c r="H6" s="2"/>
      <c r="I6" s="2"/>
    </row>
    <row r="7" spans="1:9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>
        <v>5.0000000000000001E-4</v>
      </c>
      <c r="G7" s="2">
        <v>45.4754</v>
      </c>
      <c r="H7" s="2"/>
      <c r="I7" s="2"/>
    </row>
    <row r="8" spans="1:9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>
        <v>5.0000000000000001E-4</v>
      </c>
      <c r="G8" s="2">
        <v>167.18700000000001</v>
      </c>
      <c r="H8" s="2"/>
      <c r="I8" s="2"/>
    </row>
    <row r="9" spans="1:9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>
        <v>5.0000000000000001E-4</v>
      </c>
      <c r="G9" s="2">
        <v>211.01079999999999</v>
      </c>
      <c r="H9" s="2"/>
      <c r="I9" s="2"/>
    </row>
    <row r="10" spans="1:9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>
        <v>5.0000000000000001E-4</v>
      </c>
      <c r="G10" s="2">
        <v>292.89260000000002</v>
      </c>
      <c r="H10" s="2"/>
      <c r="I10" s="2"/>
    </row>
    <row r="11" spans="1:9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>
        <v>5.0000000000000001E-4</v>
      </c>
      <c r="G11" s="2">
        <v>67.207099999999997</v>
      </c>
      <c r="H11" s="2"/>
      <c r="I11" s="2"/>
    </row>
    <row r="12" spans="1:9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>
        <v>5.0000000000000001E-4</v>
      </c>
      <c r="G12" s="2">
        <v>39.1691</v>
      </c>
      <c r="H12" s="2"/>
      <c r="I12" s="2"/>
    </row>
    <row r="13" spans="1:9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>
        <v>5.0000000000000001E-4</v>
      </c>
      <c r="G13" s="2">
        <v>918.21730000000002</v>
      </c>
      <c r="H13" s="2"/>
      <c r="I13" s="2"/>
    </row>
    <row r="14" spans="1:9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>
        <v>5.0000000000000001E-4</v>
      </c>
      <c r="G14" s="2">
        <v>25.730699999999999</v>
      </c>
      <c r="H14" s="2"/>
      <c r="I14" s="2"/>
    </row>
    <row r="15" spans="1:9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>
        <v>5.0000000000000001E-4</v>
      </c>
      <c r="G15" s="2">
        <v>1552.0505000000001</v>
      </c>
      <c r="H15" s="2"/>
      <c r="I15" s="2"/>
    </row>
    <row r="16" spans="1:9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>
        <v>5.0000000000000001E-4</v>
      </c>
      <c r="G16" s="2">
        <v>616.61599999999999</v>
      </c>
      <c r="H16" s="2"/>
      <c r="I16" s="2"/>
    </row>
    <row r="17" spans="1: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>
        <v>5.0000000000000001E-4</v>
      </c>
      <c r="G17" s="2">
        <v>172.21199999999999</v>
      </c>
      <c r="H17" s="2"/>
      <c r="I17" s="2"/>
    </row>
    <row r="18" spans="1: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>
        <v>5.0000000000000001E-4</v>
      </c>
      <c r="G18" s="2">
        <v>5.0297000000000001</v>
      </c>
      <c r="H18" s="2"/>
      <c r="I18" s="2"/>
    </row>
    <row r="19" spans="1: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>
        <v>5.0000000000000001E-4</v>
      </c>
      <c r="G19" s="2">
        <v>194.847375</v>
      </c>
    </row>
    <row r="20" spans="1: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>
        <v>5.0000000000000001E-4</v>
      </c>
      <c r="G20" s="2">
        <v>863.93174999999997</v>
      </c>
    </row>
    <row r="21" spans="1: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>
        <v>5.0000000000000001E-4</v>
      </c>
      <c r="G21" s="2">
        <v>40.040010457992501</v>
      </c>
    </row>
    <row r="22" spans="1: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>
        <v>5.0000000000000001E-4</v>
      </c>
      <c r="G22" s="2">
        <v>140.82037499999899</v>
      </c>
    </row>
    <row r="23" spans="1: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>
        <v>5.0000000000000001E-4</v>
      </c>
      <c r="G23" s="2">
        <v>133.56674999999899</v>
      </c>
    </row>
    <row r="24" spans="1: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>
        <v>5.0000000000000001E-4</v>
      </c>
      <c r="G24" s="2">
        <v>273.93688778686499</v>
      </c>
    </row>
    <row r="25" spans="1: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>
        <v>5.0000000000000001E-4</v>
      </c>
      <c r="G25" s="2">
        <v>153.89691732788</v>
      </c>
    </row>
    <row r="26" spans="1: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>
        <v>5.0000000000000001E-4</v>
      </c>
      <c r="G26" s="2">
        <v>1656.828</v>
      </c>
    </row>
    <row r="27" spans="1: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>
        <v>5.0000000000000001E-4</v>
      </c>
      <c r="G27" s="2">
        <v>23.631810839652999</v>
      </c>
    </row>
    <row r="28" spans="1: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>
        <v>5.0000000000000001E-4</v>
      </c>
      <c r="G28" s="2">
        <v>68.114041831970198</v>
      </c>
    </row>
    <row r="29" spans="1: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>
        <v>5.0000000000000001E-4</v>
      </c>
      <c r="G29" s="2">
        <v>65.407282440185497</v>
      </c>
    </row>
    <row r="30" spans="1: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>
        <v>5.0000000000000001E-4</v>
      </c>
      <c r="G30" s="2">
        <v>584.50758779907198</v>
      </c>
      <c r="I30" s="2"/>
    </row>
    <row r="31" spans="1: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>
        <v>5.0000000000000001E-4</v>
      </c>
      <c r="G31" s="2">
        <v>38.365805822372401</v>
      </c>
    </row>
    <row r="32" spans="1: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>
        <v>5.0000000000000001E-4</v>
      </c>
      <c r="G32" s="2">
        <v>24.7476202287673</v>
      </c>
    </row>
    <row r="33" spans="1:7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>
        <v>5.0000000000000001E-4</v>
      </c>
      <c r="G33" s="2">
        <v>17.916036737441999</v>
      </c>
    </row>
    <row r="34" spans="1:7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>
        <v>5.0000000000000001E-4</v>
      </c>
      <c r="G34" s="2">
        <v>1502.2484999999999</v>
      </c>
    </row>
    <row r="35" spans="1:7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>
        <v>5.0000000000000001E-4</v>
      </c>
      <c r="G35" s="2">
        <v>1127.6358511962801</v>
      </c>
    </row>
    <row r="36" spans="1:7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>
        <v>5.0000000000000001E-4</v>
      </c>
      <c r="G36" s="2">
        <v>160.83953816985999</v>
      </c>
    </row>
    <row r="37" spans="1:7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>
        <v>5.0000000000000001E-4</v>
      </c>
      <c r="G37" s="2">
        <v>37.4487153053283</v>
      </c>
    </row>
    <row r="38" spans="1:7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>
        <v>5.0000000000000001E-4</v>
      </c>
      <c r="G38" s="2">
        <v>23.936961736678999</v>
      </c>
    </row>
    <row r="39" spans="1:7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>
        <v>5.0000000000000001E-4</v>
      </c>
      <c r="G39" s="2">
        <v>1146.97322442626</v>
      </c>
    </row>
    <row r="40" spans="1:7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>
        <v>5.0000000000000001E-4</v>
      </c>
      <c r="G40" s="2">
        <v>1380.18975</v>
      </c>
    </row>
    <row r="41" spans="1:7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>
        <v>5.0000000000000001E-4</v>
      </c>
      <c r="G41" s="2">
        <v>78.529242862701395</v>
      </c>
    </row>
    <row r="42" spans="1:7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>
        <v>5.0000000000000001E-4</v>
      </c>
      <c r="G42" s="2">
        <v>60.250111221313396</v>
      </c>
    </row>
    <row r="43" spans="1:7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>
        <v>5.0000000000000001E-4</v>
      </c>
      <c r="G43" s="2">
        <v>278.53919389343201</v>
      </c>
    </row>
    <row r="44" spans="1:7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>
        <v>5.0000000000000001E-4</v>
      </c>
      <c r="G44" s="2">
        <v>21.730859313011099</v>
      </c>
    </row>
    <row r="45" spans="1:7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>
        <v>5.0000000000000001E-4</v>
      </c>
      <c r="G45" s="2">
        <v>9.4067014274597103</v>
      </c>
    </row>
    <row r="46" spans="1:7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>
        <v>5.0000000000000001E-4</v>
      </c>
      <c r="G46" s="2">
        <v>38.2408683223724</v>
      </c>
    </row>
    <row r="47" spans="1:7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>
        <v>5.0000000000000001E-4</v>
      </c>
      <c r="G47" s="2">
        <v>69.085442745208695</v>
      </c>
    </row>
    <row r="48" spans="1:7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>
        <v>5.0000000000000001E-4</v>
      </c>
      <c r="G48" s="2">
        <v>24.902543415069498</v>
      </c>
    </row>
    <row r="49" spans="1:7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>
        <v>5.0000000000000001E-4</v>
      </c>
      <c r="G49" s="2">
        <v>131.983978050231</v>
      </c>
    </row>
    <row r="50" spans="1:7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>
        <v>5.0000000000000001E-4</v>
      </c>
      <c r="G50" s="2">
        <v>38.700641220092699</v>
      </c>
    </row>
    <row r="51" spans="1:7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>
        <v>5.0000000000000001E-4</v>
      </c>
      <c r="G51" s="2">
        <v>194.702603050231</v>
      </c>
    </row>
    <row r="52" spans="1:7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>
        <v>5.0000000000000001E-4</v>
      </c>
      <c r="G52" s="2">
        <v>607.09632440185499</v>
      </c>
    </row>
    <row r="53" spans="1:7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>
        <v>5.0000000000000001E-4</v>
      </c>
      <c r="G53" s="2">
        <v>1620.6892499999999</v>
      </c>
    </row>
    <row r="54" spans="1:7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>
        <v>5.0000000000000001E-4</v>
      </c>
      <c r="G54" s="2">
        <v>62.288839694976801</v>
      </c>
    </row>
    <row r="55" spans="1:7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>
        <v>5.0000000000000001E-4</v>
      </c>
      <c r="G55" s="2">
        <v>278.160837799072</v>
      </c>
    </row>
    <row r="56" spans="1:7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>
        <v>5.0000000000000001E-4</v>
      </c>
      <c r="G56" s="2">
        <v>142.48871755981401</v>
      </c>
    </row>
    <row r="57" spans="1:7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>
        <v>5.0000000000000001E-4</v>
      </c>
      <c r="G57" s="2">
        <v>855.07225000000005</v>
      </c>
    </row>
    <row r="58" spans="1:7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>
        <v>5.0000000000000001E-4</v>
      </c>
      <c r="G58" s="2">
        <v>144.327793899536</v>
      </c>
    </row>
    <row r="59" spans="1:7" x14ac:dyDescent="0.25">
      <c r="A59" s="4">
        <v>46115</v>
      </c>
      <c r="B59" t="s">
        <v>14</v>
      </c>
      <c r="C59" t="s">
        <v>23</v>
      </c>
      <c r="D59">
        <v>7328</v>
      </c>
      <c r="E59" s="2">
        <v>39.694999694824197</v>
      </c>
      <c r="F59">
        <v>5.0000000000000001E-4</v>
      </c>
      <c r="G59" s="2">
        <v>39.714847194671599</v>
      </c>
    </row>
    <row r="60" spans="1:7" x14ac:dyDescent="0.25">
      <c r="A60" s="4">
        <v>46115</v>
      </c>
      <c r="B60" t="s">
        <v>7</v>
      </c>
      <c r="C60" t="s">
        <v>23</v>
      </c>
      <c r="D60">
        <v>37957</v>
      </c>
      <c r="E60" s="2">
        <v>18.770000457763601</v>
      </c>
      <c r="F60">
        <v>5.0000000000000001E-4</v>
      </c>
      <c r="G60" s="2">
        <v>18.7793854579925</v>
      </c>
    </row>
    <row r="61" spans="1:7" x14ac:dyDescent="0.25">
      <c r="A61" s="4">
        <v>46115</v>
      </c>
      <c r="B61" t="s">
        <v>12</v>
      </c>
      <c r="C61" t="s">
        <v>23</v>
      </c>
      <c r="D61">
        <v>782</v>
      </c>
      <c r="E61" s="2">
        <v>295.5</v>
      </c>
      <c r="F61">
        <v>5.0000000000000001E-4</v>
      </c>
      <c r="G61" s="2">
        <v>295.64774999999997</v>
      </c>
    </row>
    <row r="62" spans="1:7" x14ac:dyDescent="0.25">
      <c r="A62" s="4">
        <v>46115</v>
      </c>
      <c r="B62" t="s">
        <v>35</v>
      </c>
      <c r="C62" t="s">
        <v>23</v>
      </c>
      <c r="D62">
        <v>246</v>
      </c>
      <c r="E62" s="2">
        <v>287.29998779296801</v>
      </c>
      <c r="F62">
        <v>5.0000000000000001E-4</v>
      </c>
      <c r="G62" s="2">
        <v>287.443637786865</v>
      </c>
    </row>
    <row r="63" spans="1:7" x14ac:dyDescent="0.25">
      <c r="A63" s="4">
        <v>46115</v>
      </c>
      <c r="B63" t="s">
        <v>5</v>
      </c>
      <c r="C63" t="s">
        <v>23</v>
      </c>
      <c r="D63">
        <v>314</v>
      </c>
      <c r="E63" s="2">
        <v>1161</v>
      </c>
      <c r="F63">
        <v>5.0000000000000001E-4</v>
      </c>
      <c r="G63" s="2">
        <v>1161.5805</v>
      </c>
    </row>
    <row r="64" spans="1:7" x14ac:dyDescent="0.25">
      <c r="A64" s="4">
        <v>46115</v>
      </c>
      <c r="B64" t="s">
        <v>8</v>
      </c>
      <c r="C64" t="s">
        <v>23</v>
      </c>
      <c r="D64">
        <v>947</v>
      </c>
      <c r="E64" s="2">
        <v>134.89999389648401</v>
      </c>
      <c r="F64">
        <v>5.0000000000000001E-4</v>
      </c>
      <c r="G64" s="2">
        <v>134.96744389343201</v>
      </c>
    </row>
    <row r="65" spans="1:7" x14ac:dyDescent="0.25">
      <c r="A65" s="4">
        <v>46115</v>
      </c>
      <c r="B65" t="s">
        <v>16</v>
      </c>
      <c r="C65" t="s">
        <v>23</v>
      </c>
      <c r="D65">
        <v>1216</v>
      </c>
      <c r="E65" s="2">
        <v>25.674999237060501</v>
      </c>
      <c r="F65">
        <v>5.0000000000000001E-4</v>
      </c>
      <c r="G65" s="2">
        <v>25.687836736678999</v>
      </c>
    </row>
    <row r="66" spans="1:7" x14ac:dyDescent="0.25">
      <c r="A66" s="4">
        <v>46115</v>
      </c>
      <c r="B66" t="s">
        <v>32</v>
      </c>
      <c r="C66" t="s">
        <v>23</v>
      </c>
      <c r="D66">
        <v>6143</v>
      </c>
      <c r="E66" s="2">
        <v>38.959999084472599</v>
      </c>
      <c r="F66">
        <v>5.0000000000000001E-4</v>
      </c>
      <c r="G66" s="2">
        <v>38.979479084014798</v>
      </c>
    </row>
    <row r="67" spans="1:7" x14ac:dyDescent="0.25">
      <c r="A67" s="4">
        <v>46115</v>
      </c>
      <c r="B67" t="s">
        <v>33</v>
      </c>
      <c r="C67" t="s">
        <v>23</v>
      </c>
      <c r="D67">
        <v>2177</v>
      </c>
      <c r="E67" s="2">
        <v>79.419998168945298</v>
      </c>
      <c r="F67">
        <v>5.0000000000000001E-4</v>
      </c>
      <c r="G67" s="2">
        <v>79.459708168029707</v>
      </c>
    </row>
    <row r="68" spans="1:7" x14ac:dyDescent="0.25">
      <c r="A68" s="4">
        <v>46115</v>
      </c>
      <c r="B68" t="s">
        <v>28</v>
      </c>
      <c r="C68" t="s">
        <v>26</v>
      </c>
      <c r="D68">
        <v>-3861</v>
      </c>
      <c r="E68" s="2">
        <v>70.519996643066406</v>
      </c>
      <c r="F68">
        <v>5.0000000000000001E-4</v>
      </c>
      <c r="G68" s="2">
        <v>70.4847366447448</v>
      </c>
    </row>
    <row r="69" spans="1:7" x14ac:dyDescent="0.25">
      <c r="A69" s="4">
        <v>46115</v>
      </c>
      <c r="B69" t="s">
        <v>6</v>
      </c>
      <c r="C69" t="s">
        <v>26</v>
      </c>
      <c r="D69">
        <v>-2461</v>
      </c>
      <c r="E69" s="2">
        <v>149.69999694824199</v>
      </c>
      <c r="F69">
        <v>5.0000000000000001E-4</v>
      </c>
      <c r="G69" s="2">
        <v>149.62514694976801</v>
      </c>
    </row>
    <row r="70" spans="1:7" x14ac:dyDescent="0.25">
      <c r="A70" s="4">
        <v>46115</v>
      </c>
      <c r="B70" t="s">
        <v>34</v>
      </c>
      <c r="C70" t="s">
        <v>26</v>
      </c>
      <c r="D70">
        <v>-12173</v>
      </c>
      <c r="E70" s="2">
        <v>62.659999847412102</v>
      </c>
      <c r="F70">
        <v>5.0000000000000001E-4</v>
      </c>
      <c r="G70" s="2">
        <v>62.628669847488403</v>
      </c>
    </row>
    <row r="71" spans="1:7" x14ac:dyDescent="0.25">
      <c r="A71" s="4">
        <v>46115</v>
      </c>
      <c r="B71" t="s">
        <v>36</v>
      </c>
      <c r="C71" t="s">
        <v>26</v>
      </c>
      <c r="D71">
        <v>-5905</v>
      </c>
      <c r="E71" s="2">
        <v>22.944999694824201</v>
      </c>
      <c r="F71">
        <v>5.0000000000000001E-4</v>
      </c>
      <c r="G71" s="2">
        <v>22.933527194976801</v>
      </c>
    </row>
    <row r="72" spans="1:7" x14ac:dyDescent="0.25">
      <c r="A72" s="4">
        <v>46115</v>
      </c>
      <c r="B72" t="s">
        <v>25</v>
      </c>
      <c r="C72" t="s">
        <v>26</v>
      </c>
      <c r="D72">
        <v>-12852</v>
      </c>
      <c r="E72" s="2">
        <v>24.684999465942301</v>
      </c>
      <c r="F72">
        <v>5.0000000000000001E-4</v>
      </c>
      <c r="G72" s="2">
        <v>24.672656966209399</v>
      </c>
    </row>
    <row r="73" spans="1:7" x14ac:dyDescent="0.25">
      <c r="A73" s="4">
        <v>46115</v>
      </c>
      <c r="B73" t="s">
        <v>17</v>
      </c>
      <c r="C73" t="s">
        <v>26</v>
      </c>
      <c r="D73">
        <v>-221</v>
      </c>
      <c r="E73" s="2">
        <v>1570.5</v>
      </c>
      <c r="F73">
        <v>5.0000000000000001E-4</v>
      </c>
      <c r="G73" s="2">
        <v>1569.7147500000001</v>
      </c>
    </row>
    <row r="74" spans="1:7" x14ac:dyDescent="0.25">
      <c r="A74" s="4">
        <v>46115</v>
      </c>
      <c r="B74" t="s">
        <v>37</v>
      </c>
      <c r="C74" t="s">
        <v>26</v>
      </c>
      <c r="D74">
        <v>-4227</v>
      </c>
      <c r="E74" s="2">
        <v>9.8140001296996999</v>
      </c>
      <c r="F74">
        <v>5.0000000000000001E-4</v>
      </c>
      <c r="G74" s="2">
        <v>9.8090931296348494</v>
      </c>
    </row>
    <row r="75" spans="1:7" x14ac:dyDescent="0.25">
      <c r="A75" s="4">
        <v>46122</v>
      </c>
      <c r="B75" t="s">
        <v>9</v>
      </c>
      <c r="C75" t="s">
        <v>23</v>
      </c>
      <c r="D75">
        <v>2584</v>
      </c>
      <c r="E75" s="2">
        <v>41.555000305175703</v>
      </c>
      <c r="F75">
        <v>2.0777500152587801E-2</v>
      </c>
      <c r="G75" s="2">
        <v>41.5757778053283</v>
      </c>
    </row>
    <row r="76" spans="1:7" x14ac:dyDescent="0.25">
      <c r="A76" s="4">
        <v>46122</v>
      </c>
      <c r="B76" t="s">
        <v>37</v>
      </c>
      <c r="C76" t="s">
        <v>23</v>
      </c>
      <c r="D76">
        <v>19597</v>
      </c>
      <c r="E76" s="2">
        <v>10.5159997940063</v>
      </c>
      <c r="F76">
        <v>5.2579998970031698E-3</v>
      </c>
      <c r="G76" s="2">
        <v>10.521257793903301</v>
      </c>
    </row>
    <row r="77" spans="1:7" x14ac:dyDescent="0.25">
      <c r="A77" s="4">
        <v>46122</v>
      </c>
      <c r="B77" t="s">
        <v>6</v>
      </c>
      <c r="C77" t="s">
        <v>23</v>
      </c>
      <c r="D77">
        <v>6951</v>
      </c>
      <c r="E77" s="2">
        <v>167.22000122070301</v>
      </c>
      <c r="F77">
        <v>8.3610000610351495E-2</v>
      </c>
      <c r="G77" s="2">
        <v>167.30361122131299</v>
      </c>
    </row>
    <row r="78" spans="1:7" x14ac:dyDescent="0.25">
      <c r="A78" s="4">
        <v>46122</v>
      </c>
      <c r="B78" t="s">
        <v>16</v>
      </c>
      <c r="C78" t="s">
        <v>23</v>
      </c>
      <c r="D78">
        <v>663</v>
      </c>
      <c r="E78" s="2">
        <v>27.709999084472599</v>
      </c>
      <c r="F78">
        <v>1.3854999542236301E-2</v>
      </c>
      <c r="G78" s="2">
        <v>27.7238540840148</v>
      </c>
    </row>
    <row r="79" spans="1:7" x14ac:dyDescent="0.25">
      <c r="A79" s="4">
        <v>46122</v>
      </c>
      <c r="B79" t="s">
        <v>8</v>
      </c>
      <c r="C79" t="s">
        <v>23</v>
      </c>
      <c r="D79">
        <v>1900</v>
      </c>
      <c r="E79" s="2">
        <v>137.80000305175699</v>
      </c>
      <c r="F79">
        <v>6.8900001525878898E-2</v>
      </c>
      <c r="G79" s="2">
        <v>137.86890305328299</v>
      </c>
    </row>
    <row r="80" spans="1:7" x14ac:dyDescent="0.25">
      <c r="A80" s="4">
        <v>46122</v>
      </c>
      <c r="B80" t="s">
        <v>33</v>
      </c>
      <c r="C80" t="s">
        <v>23</v>
      </c>
      <c r="D80">
        <v>3599</v>
      </c>
      <c r="E80" s="2">
        <v>78.610000610351506</v>
      </c>
      <c r="F80">
        <v>3.9305000305175697E-2</v>
      </c>
      <c r="G80" s="2">
        <v>78.649305610656697</v>
      </c>
    </row>
    <row r="81" spans="1:7" x14ac:dyDescent="0.25">
      <c r="A81" s="4">
        <v>46122</v>
      </c>
      <c r="B81" t="s">
        <v>14</v>
      </c>
      <c r="C81" t="s">
        <v>23</v>
      </c>
      <c r="D81">
        <v>5804</v>
      </c>
      <c r="E81" s="2">
        <v>40.119998931884702</v>
      </c>
      <c r="F81">
        <v>2.0059999465942301E-2</v>
      </c>
      <c r="G81" s="2">
        <v>40.140058931350701</v>
      </c>
    </row>
    <row r="82" spans="1:7" x14ac:dyDescent="0.25">
      <c r="A82" s="4">
        <v>46122</v>
      </c>
      <c r="B82" t="s">
        <v>25</v>
      </c>
      <c r="C82" t="s">
        <v>26</v>
      </c>
      <c r="D82">
        <v>-3328</v>
      </c>
      <c r="E82" s="2">
        <v>23.9500007629394</v>
      </c>
      <c r="F82">
        <v>1.1975000381469701E-2</v>
      </c>
      <c r="G82" s="2">
        <v>23.938025762557899</v>
      </c>
    </row>
    <row r="83" spans="1:7" x14ac:dyDescent="0.25">
      <c r="A83" s="4">
        <v>46122</v>
      </c>
      <c r="B83" t="s">
        <v>7</v>
      </c>
      <c r="C83" t="s">
        <v>26</v>
      </c>
      <c r="D83">
        <v>-36557</v>
      </c>
      <c r="E83" s="2">
        <v>19.704999923706001</v>
      </c>
      <c r="F83">
        <v>9.8524999618530198E-3</v>
      </c>
      <c r="G83" s="2">
        <v>19.695147423744199</v>
      </c>
    </row>
    <row r="84" spans="1:7" x14ac:dyDescent="0.25">
      <c r="A84" s="4">
        <v>46122</v>
      </c>
      <c r="B84" t="s">
        <v>35</v>
      </c>
      <c r="C84" t="s">
        <v>26</v>
      </c>
      <c r="D84">
        <v>-400</v>
      </c>
      <c r="E84" s="2">
        <v>313.29998779296801</v>
      </c>
      <c r="F84">
        <v>0.15664999389648401</v>
      </c>
      <c r="G84" s="2">
        <v>313.14333779907201</v>
      </c>
    </row>
    <row r="85" spans="1:7" x14ac:dyDescent="0.25">
      <c r="A85" s="4">
        <v>46122</v>
      </c>
      <c r="B85" t="s">
        <v>15</v>
      </c>
      <c r="C85" t="s">
        <v>26</v>
      </c>
      <c r="D85">
        <v>-294</v>
      </c>
      <c r="E85" s="2">
        <v>858.79998779296795</v>
      </c>
      <c r="F85">
        <v>0.42939999389648398</v>
      </c>
      <c r="G85" s="2">
        <v>858.37058779907204</v>
      </c>
    </row>
    <row r="86" spans="1:7" x14ac:dyDescent="0.25">
      <c r="A86" s="4">
        <v>46122</v>
      </c>
      <c r="B86" t="s">
        <v>28</v>
      </c>
      <c r="C86" t="s">
        <v>26</v>
      </c>
      <c r="D86">
        <v>-3049</v>
      </c>
      <c r="E86" s="2">
        <v>76</v>
      </c>
      <c r="F86">
        <v>3.7999999999999999E-2</v>
      </c>
      <c r="G86" s="2">
        <v>75.962000000000003</v>
      </c>
    </row>
    <row r="87" spans="1:7" x14ac:dyDescent="0.25">
      <c r="A87" s="4">
        <v>46122</v>
      </c>
      <c r="B87" t="s">
        <v>5</v>
      </c>
      <c r="C87" t="s">
        <v>26</v>
      </c>
      <c r="D87">
        <v>-569</v>
      </c>
      <c r="E87" s="2">
        <v>1270</v>
      </c>
      <c r="F87">
        <v>0.63500000000000001</v>
      </c>
      <c r="G87" s="2">
        <v>1269.365</v>
      </c>
    </row>
    <row r="88" spans="1:7" x14ac:dyDescent="0.25">
      <c r="A88" s="4">
        <v>46122</v>
      </c>
      <c r="B88" t="s">
        <v>32</v>
      </c>
      <c r="C88" t="s">
        <v>26</v>
      </c>
      <c r="D88">
        <v>-2481</v>
      </c>
      <c r="E88" s="2">
        <v>42.825000762939403</v>
      </c>
      <c r="F88">
        <v>2.1412500381469701E-2</v>
      </c>
      <c r="G88" s="2">
        <v>42.803588262557902</v>
      </c>
    </row>
    <row r="89" spans="1:7" x14ac:dyDescent="0.25">
      <c r="A89" s="4">
        <v>46122</v>
      </c>
      <c r="B89" t="s">
        <v>12</v>
      </c>
      <c r="C89" t="s">
        <v>26</v>
      </c>
      <c r="D89">
        <v>-115</v>
      </c>
      <c r="E89" s="2">
        <v>301.64999389648398</v>
      </c>
      <c r="F89">
        <v>0.150824996948242</v>
      </c>
      <c r="G89" s="2">
        <v>301.49916889953602</v>
      </c>
    </row>
    <row r="90" spans="1:7" x14ac:dyDescent="0.25">
      <c r="A90" s="4">
        <v>46129</v>
      </c>
      <c r="B90" t="s">
        <v>33</v>
      </c>
      <c r="C90" t="s">
        <v>23</v>
      </c>
      <c r="D90">
        <v>2329</v>
      </c>
      <c r="E90" s="2">
        <v>73.069999694824205</v>
      </c>
      <c r="F90" s="6">
        <v>5.0000000000000001E-4</v>
      </c>
      <c r="G90" s="2">
        <v>73.106534694671595</v>
      </c>
    </row>
    <row r="91" spans="1:7" x14ac:dyDescent="0.25">
      <c r="A91" s="4">
        <v>46129</v>
      </c>
      <c r="B91" t="s">
        <v>16</v>
      </c>
      <c r="C91" t="s">
        <v>23</v>
      </c>
      <c r="D91">
        <v>6891</v>
      </c>
      <c r="E91" s="2">
        <v>28.909999847412099</v>
      </c>
      <c r="F91" s="6">
        <v>5.0000000000000001E-4</v>
      </c>
      <c r="G91" s="2">
        <v>28.924454847335799</v>
      </c>
    </row>
    <row r="92" spans="1:7" x14ac:dyDescent="0.25">
      <c r="A92" s="4">
        <v>46129</v>
      </c>
      <c r="B92" t="s">
        <v>13</v>
      </c>
      <c r="C92" t="s">
        <v>23</v>
      </c>
      <c r="D92">
        <v>3946</v>
      </c>
      <c r="E92" s="2">
        <v>71.339996337890597</v>
      </c>
      <c r="F92" s="6">
        <v>5.0000000000000001E-4</v>
      </c>
      <c r="G92" s="2">
        <v>71.375666336059496</v>
      </c>
    </row>
    <row r="93" spans="1:7" x14ac:dyDescent="0.25">
      <c r="A93" s="4">
        <v>46129</v>
      </c>
      <c r="B93" t="s">
        <v>38</v>
      </c>
      <c r="C93" t="s">
        <v>23</v>
      </c>
      <c r="D93">
        <v>4327</v>
      </c>
      <c r="E93" s="2">
        <v>55.020000457763601</v>
      </c>
      <c r="F93" s="6">
        <v>5.0000000000000001E-4</v>
      </c>
      <c r="G93" s="2">
        <v>55.047510457992502</v>
      </c>
    </row>
    <row r="94" spans="1:7" x14ac:dyDescent="0.25">
      <c r="A94" s="4">
        <v>46129</v>
      </c>
      <c r="B94" t="s">
        <v>10</v>
      </c>
      <c r="C94" t="s">
        <v>23</v>
      </c>
      <c r="D94">
        <v>1388</v>
      </c>
      <c r="E94" s="2">
        <v>156.24000549316401</v>
      </c>
      <c r="F94" s="6">
        <v>5.0000000000000001E-4</v>
      </c>
      <c r="G94" s="2">
        <v>156.31812549591001</v>
      </c>
    </row>
    <row r="95" spans="1:7" x14ac:dyDescent="0.25">
      <c r="A95" s="4">
        <v>46129</v>
      </c>
      <c r="B95" t="s">
        <v>14</v>
      </c>
      <c r="C95" t="s">
        <v>23</v>
      </c>
      <c r="D95">
        <v>19134</v>
      </c>
      <c r="E95" s="2">
        <v>41.099998474121001</v>
      </c>
      <c r="F95" s="6">
        <v>5.0000000000000001E-4</v>
      </c>
      <c r="G95" s="2">
        <v>41.120548473358099</v>
      </c>
    </row>
    <row r="96" spans="1:7" x14ac:dyDescent="0.25">
      <c r="A96" s="4">
        <v>46129</v>
      </c>
      <c r="B96" t="s">
        <v>7</v>
      </c>
      <c r="C96" t="s">
        <v>23</v>
      </c>
      <c r="D96">
        <v>832</v>
      </c>
      <c r="E96" s="2">
        <v>20.309999465942301</v>
      </c>
      <c r="F96" s="6">
        <v>5.0000000000000001E-4</v>
      </c>
      <c r="G96" s="2">
        <v>20.320154465675301</v>
      </c>
    </row>
    <row r="97" spans="1:7" x14ac:dyDescent="0.25">
      <c r="A97" s="4">
        <v>46129</v>
      </c>
      <c r="B97" t="s">
        <v>5</v>
      </c>
      <c r="C97" t="s">
        <v>23</v>
      </c>
      <c r="D97">
        <v>674</v>
      </c>
      <c r="E97" s="2">
        <v>1244</v>
      </c>
      <c r="F97" s="6">
        <v>5.0000000000000001E-4</v>
      </c>
      <c r="G97" s="2">
        <v>1244.6219999999901</v>
      </c>
    </row>
    <row r="98" spans="1:7" x14ac:dyDescent="0.25">
      <c r="A98" s="4">
        <v>46129</v>
      </c>
      <c r="B98" t="s">
        <v>28</v>
      </c>
      <c r="C98" t="s">
        <v>26</v>
      </c>
      <c r="D98">
        <v>674</v>
      </c>
      <c r="E98" s="2">
        <v>81.440002441406193</v>
      </c>
      <c r="F98" s="6">
        <v>5.0000000000000001E-4</v>
      </c>
      <c r="G98" s="2">
        <v>81.399282440185502</v>
      </c>
    </row>
    <row r="99" spans="1:7" x14ac:dyDescent="0.25">
      <c r="A99" s="4">
        <v>46129</v>
      </c>
      <c r="B99" t="s">
        <v>15</v>
      </c>
      <c r="C99" t="s">
        <v>26</v>
      </c>
      <c r="D99">
        <v>-81</v>
      </c>
      <c r="E99" s="2">
        <v>984.90002441406205</v>
      </c>
      <c r="F99" s="6">
        <v>5.0000000000000001E-4</v>
      </c>
      <c r="G99" s="2">
        <v>984.40757440185496</v>
      </c>
    </row>
    <row r="100" spans="1:7" x14ac:dyDescent="0.25">
      <c r="A100" s="4">
        <v>46129</v>
      </c>
      <c r="B100" t="s">
        <v>9</v>
      </c>
      <c r="C100" t="s">
        <v>26</v>
      </c>
      <c r="D100">
        <v>-803</v>
      </c>
      <c r="E100" s="2">
        <v>44.330001831054602</v>
      </c>
      <c r="F100" s="6">
        <v>5.0000000000000001E-4</v>
      </c>
      <c r="G100" s="2">
        <v>44.307836830139102</v>
      </c>
    </row>
    <row r="101" spans="1:7" x14ac:dyDescent="0.25">
      <c r="A101" s="4">
        <v>46129</v>
      </c>
      <c r="B101" t="s">
        <v>32</v>
      </c>
      <c r="C101" t="s">
        <v>26</v>
      </c>
      <c r="D101">
        <v>-6028</v>
      </c>
      <c r="E101" s="2">
        <v>48.900001525878899</v>
      </c>
      <c r="F101" s="6">
        <v>5.0000000000000001E-4</v>
      </c>
      <c r="G101" s="2">
        <v>48.875551525115903</v>
      </c>
    </row>
    <row r="102" spans="1:7" x14ac:dyDescent="0.25">
      <c r="A102" s="4">
        <v>46129</v>
      </c>
      <c r="B102" t="s">
        <v>25</v>
      </c>
      <c r="C102" t="s">
        <v>26</v>
      </c>
      <c r="D102">
        <v>-938</v>
      </c>
      <c r="E102" s="2">
        <v>21.7600002288818</v>
      </c>
      <c r="F102" s="6">
        <v>5.0000000000000001E-4</v>
      </c>
      <c r="G102" s="2">
        <v>21.7491202287673</v>
      </c>
    </row>
    <row r="103" spans="1:7" x14ac:dyDescent="0.25">
      <c r="A103" s="4">
        <v>46129</v>
      </c>
      <c r="B103" t="s">
        <v>6</v>
      </c>
      <c r="C103" t="s">
        <v>26</v>
      </c>
      <c r="D103">
        <v>-4228</v>
      </c>
      <c r="E103" s="2">
        <v>172.05999755859301</v>
      </c>
      <c r="F103" s="6">
        <v>5.0000000000000001E-4</v>
      </c>
      <c r="G103" s="2">
        <v>171.97396755981401</v>
      </c>
    </row>
    <row r="104" spans="1:7" x14ac:dyDescent="0.25">
      <c r="A104" s="4">
        <v>46129</v>
      </c>
      <c r="B104" t="s">
        <v>37</v>
      </c>
      <c r="C104" t="s">
        <v>26</v>
      </c>
      <c r="D104">
        <v>-50484</v>
      </c>
      <c r="E104" s="2">
        <v>11.041999816894499</v>
      </c>
      <c r="F104" s="6">
        <v>5.0000000000000001E-4</v>
      </c>
      <c r="G104" s="2">
        <v>11.036478816986</v>
      </c>
    </row>
    <row r="105" spans="1:7" x14ac:dyDescent="0.25">
      <c r="A105" s="4">
        <v>46129</v>
      </c>
      <c r="B105" t="s">
        <v>12</v>
      </c>
      <c r="C105" t="s">
        <v>26</v>
      </c>
      <c r="D105">
        <v>-1010</v>
      </c>
      <c r="E105" s="2">
        <v>321.100006103515</v>
      </c>
      <c r="F105" s="6">
        <v>5.0000000000000001E-4</v>
      </c>
      <c r="G105" s="2">
        <v>320.93945610046302</v>
      </c>
    </row>
    <row r="106" spans="1:7" x14ac:dyDescent="0.25">
      <c r="A106" s="4">
        <v>46129</v>
      </c>
      <c r="B106" t="s">
        <v>35</v>
      </c>
      <c r="C106" t="s">
        <v>26</v>
      </c>
      <c r="D106">
        <v>-1147</v>
      </c>
      <c r="E106" s="2">
        <v>315.29998779296801</v>
      </c>
      <c r="F106" s="6">
        <v>5.0000000000000001E-4</v>
      </c>
      <c r="G106" s="2">
        <v>315.14233779907198</v>
      </c>
    </row>
    <row r="107" spans="1:7" x14ac:dyDescent="0.25">
      <c r="A107" s="4">
        <v>46129</v>
      </c>
      <c r="B107" t="s">
        <v>8</v>
      </c>
      <c r="C107" t="s">
        <v>26</v>
      </c>
      <c r="D107">
        <v>-1401</v>
      </c>
      <c r="E107" s="2">
        <v>146.39999389648401</v>
      </c>
      <c r="F107" s="6">
        <v>5.0000000000000001E-4</v>
      </c>
      <c r="G107" s="2">
        <v>146.326793899536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t="e" cm="1">
        <f t="array" aca="1" ref="A2:A5" ca="1">_xlfn.UNIQUE(Operaciones_table[Fecha])</f>
        <v>#NAME?</v>
      </c>
      <c r="B2" s="5" t="e" cm="1">
        <f t="array" aca="1" ref="B2" ca="1">SUMPRODUCT(_xlfn._xlws.FILTER(Operaciones_table[Cantidad],Operaciones_table[Fecha]='Valor cartera'!A2),_xlfn._xlws.FILTER(Operaciones_table[Precio],Operaciones_table[Fecha]='Valor cartera'!A2))</f>
        <v>#NAME?</v>
      </c>
      <c r="E2" t="s">
        <v>31</v>
      </c>
      <c r="F2" t="s">
        <v>30</v>
      </c>
    </row>
    <row r="3" spans="1:6" x14ac:dyDescent="0.25">
      <c r="A3" s="4" t="e">
        <f ca="1"/>
        <v>#NAME?</v>
      </c>
      <c r="B3" s="5" t="e" cm="1">
        <f t="array" aca="1" ref="B3" ca="1">SUMPRODUCT(_xlfn._xlws.FILTER(Operaciones_table[Cantidad],Operaciones_table[Fecha]=A3),_xlfn._xlws.FILTER(Operaciones_table[Precio],Operaciones_table[Fecha]=A3))</f>
        <v>#NAME?</v>
      </c>
    </row>
    <row r="4" spans="1:6" x14ac:dyDescent="0.25">
      <c r="A4" s="4" t="e">
        <f ca="1"/>
        <v>#NAME?</v>
      </c>
      <c r="B4" s="5" t="e" cm="1">
        <f t="array" aca="1" ref="B4" ca="1">B3+SUMPRODUCT(_xlfn._xlws.FILTER(Operaciones_table[Cantidad],Operaciones_table[Fecha]='Valor cartera'!A4),_xlfn._xlws.FILTER(Operaciones_table[Precio],Operaciones_table[Fecha]='Valor cartera'!A4))</f>
        <v>#NAME?</v>
      </c>
    </row>
    <row r="5" spans="1:6" x14ac:dyDescent="0.25">
      <c r="A5" s="4" t="e">
        <f ca="1"/>
        <v>#NAME?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2026-04-17T17:27:36Z</dcterms:modified>
</cp:coreProperties>
</file>