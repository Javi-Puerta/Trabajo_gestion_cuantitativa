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portivo Estadio\Desktop\Master Quant\Gestión de activos\Trabajo gestión cuantitativa\Trabajo_gestion_cuantitativa\Trabajo_gestion_cuantitativa\Envíos\"/>
    </mc:Choice>
  </mc:AlternateContent>
  <xr:revisionPtr revIDLastSave="0" documentId="13_ncr:1_{E3FB0ABF-1B28-413B-A3EC-18775D89F4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rativa" sheetId="1" r:id="rId1"/>
    <sheet name="Valor cartera" sheetId="2" r:id="rId2"/>
  </sheets>
  <calcPr calcId="191029"/>
  <pivotCaches>
    <pivotCache cacheId="4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1" i="1" l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2" i="1"/>
  <c r="H143" i="1"/>
  <c r="H144" i="1"/>
  <c r="H145" i="1"/>
  <c r="H146" i="1"/>
  <c r="H2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A2" i="2" a="1"/>
  <c r="A2" i="2" s="1"/>
  <c r="B2" i="2" s="1" a="1"/>
  <c r="B2" i="2" s="1"/>
  <c r="A5" i="2" l="1"/>
  <c r="A4" i="2"/>
  <c r="A3" i="2"/>
  <c r="B3" i="2" s="1" a="1"/>
  <c r="B3" i="2" s="1"/>
  <c r="B4" i="2" s="1" a="1"/>
  <c r="B4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<sst xmlns="http://schemas.openxmlformats.org/spreadsheetml/2006/main" count="340" uniqueCount="48">
  <si>
    <t>ID</t>
  </si>
  <si>
    <t>Precio</t>
  </si>
  <si>
    <t>CT</t>
  </si>
  <si>
    <t>Precio Ejecutado</t>
  </si>
  <si>
    <t>Cantidad</t>
  </si>
  <si>
    <t>ASML.AS</t>
  </si>
  <si>
    <t>ENR.DE</t>
  </si>
  <si>
    <t>BBVA.MC</t>
  </si>
  <si>
    <t>ADS.DE</t>
  </si>
  <si>
    <t>PRX.AS</t>
  </si>
  <si>
    <t>SAP.DE</t>
  </si>
  <si>
    <t>EL.PA</t>
  </si>
  <si>
    <t>RACE.MI</t>
  </si>
  <si>
    <t>WKL.AS</t>
  </si>
  <si>
    <t>BAYN.DE</t>
  </si>
  <si>
    <t>ADYEN.AS</t>
  </si>
  <si>
    <t>DBK.DE</t>
  </si>
  <si>
    <t>RHM.DE</t>
  </si>
  <si>
    <t>ARGX.BR</t>
  </si>
  <si>
    <t>AIR.PA</t>
  </si>
  <si>
    <t>ONSW.DE</t>
  </si>
  <si>
    <t>Acción</t>
  </si>
  <si>
    <t>Fecha</t>
  </si>
  <si>
    <t>COMPRA</t>
  </si>
  <si>
    <t>Valor cartera</t>
  </si>
  <si>
    <t>ENI.MI</t>
  </si>
  <si>
    <t>VENTA</t>
  </si>
  <si>
    <t>RMS.PA</t>
  </si>
  <si>
    <t>SGO.PA</t>
  </si>
  <si>
    <t>CASH</t>
  </si>
  <si>
    <t>Precio actual</t>
  </si>
  <si>
    <t>Ticker</t>
  </si>
  <si>
    <t>IFX.DE</t>
  </si>
  <si>
    <t>TTE.PA</t>
  </si>
  <si>
    <t>UCG.MI</t>
  </si>
  <si>
    <t>SAF.PA</t>
  </si>
  <si>
    <t>INGA.AS</t>
  </si>
  <si>
    <t>SAN.MC</t>
  </si>
  <si>
    <t>ITX.MC</t>
  </si>
  <si>
    <t>Row Labels</t>
  </si>
  <si>
    <t>Grand Total</t>
  </si>
  <si>
    <t>Sum of Cantidad</t>
  </si>
  <si>
    <t>Column Labels</t>
  </si>
  <si>
    <t>Sum of Precio total</t>
  </si>
  <si>
    <t>Precio total</t>
  </si>
  <si>
    <t>BNP.PA</t>
  </si>
  <si>
    <t>Cash de cada operación (&gt;0 si vendemos más que compramos, &lt;0 en caso contrario)</t>
  </si>
  <si>
    <t>Posiciones compradas o vendidas por fecha y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</si>
</sst>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3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b/>
      <sz val="14"/>
      <color theme="1"/>
      <name val="Amasis MT Pro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6" fontId="0" fillId="0" borderId="0" xfId="0" applyNumberFormat="1"/>
    <xf numFmtId="2" fontId="0" fillId="0" borderId="0" xfId="0" applyNumberFormat="1"/>
    <xf numFmtId="14" fontId="0" fillId="0" borderId="0" xfId="0" applyNumberFormat="1"/>
    <xf numFmtId="8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2" fillId="0" borderId="0" xfId="0" applyFont="1"/>
    <xf numFmtId="6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6">
    <dxf>
      <numFmt numFmtId="10" formatCode="#,##0\ &quot;€&quot;;[Red]\-#,##0\ &quot;€&quot;"/>
    </dxf>
    <dxf>
      <numFmt numFmtId="10" formatCode="#,##0\ &quot;€&quot;;[Red]\-#,##0\ &quot;€&quot;"/>
    </dxf>
    <dxf>
      <numFmt numFmtId="0" formatCode="General"/>
    </dxf>
    <dxf>
      <numFmt numFmtId="10" formatCode="#,##0\ &quot;€&quot;;[Red]\-#,##0\ &quot;€&quot;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masis MT Pro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adio gijon" refreshedDate="46143.824766203703" createdVersion="8" refreshedVersion="8" minRefreshableVersion="3" recordCount="145" xr:uid="{F974E3A8-FD59-40A3-ACE6-0C536987A82A}">
  <cacheSource type="worksheet">
    <worksheetSource name="Operaciones_table"/>
  </cacheSource>
  <cacheFields count="10">
    <cacheField name="Fecha" numFmtId="14">
      <sharedItems containsSemiMixedTypes="0" containsNonDate="0" containsDate="1" containsString="0" minDate="2026-03-11T00:00:00" maxDate="2026-05-23T00:00:00" count="30">
        <d v="2026-03-11T00:00:00"/>
        <d v="2026-03-12T00:00:00"/>
        <d v="2026-03-20T00:00:00"/>
        <d v="2026-03-27T00:00:00"/>
        <d v="2026-04-03T00:00:00"/>
        <d v="2026-04-10T00:00:00"/>
        <d v="2026-04-17T00:00:00"/>
        <d v="2026-04-24T00:00:00"/>
        <d v="2026-05-01T00:00:00"/>
        <d v="2026-05-02T00:00:00" u="1"/>
        <d v="2026-05-03T00:00:00" u="1"/>
        <d v="2026-05-04T00:00:00" u="1"/>
        <d v="2026-05-05T00:00:00" u="1"/>
        <d v="2026-05-06T00:00:00" u="1"/>
        <d v="2026-05-07T00:00:00" u="1"/>
        <d v="2026-05-08T00:00:00" u="1"/>
        <d v="2026-05-09T00:00:00" u="1"/>
        <d v="2026-05-10T00:00:00" u="1"/>
        <d v="2026-05-11T00:00:00" u="1"/>
        <d v="2026-05-12T00:00:00" u="1"/>
        <d v="2026-05-13T00:00:00" u="1"/>
        <d v="2026-05-14T00:00:00" u="1"/>
        <d v="2026-05-15T00:00:00" u="1"/>
        <d v="2026-05-16T00:00:00" u="1"/>
        <d v="2026-05-17T00:00:00" u="1"/>
        <d v="2026-05-18T00:00:00" u="1"/>
        <d v="2026-05-19T00:00:00" u="1"/>
        <d v="2026-05-20T00:00:00" u="1"/>
        <d v="2026-05-21T00:00:00" u="1"/>
        <d v="2026-05-22T00:00:00" u="1"/>
      </sharedItems>
      <fieldGroup par="9"/>
    </cacheField>
    <cacheField name="ID" numFmtId="0">
      <sharedItems count="28">
        <s v="CASH"/>
        <s v="ASML.AS"/>
        <s v="ENR.DE"/>
        <s v="BBVA.MC"/>
        <s v="ADS.DE"/>
        <s v="PRX.AS"/>
        <s v="SAP.DE"/>
        <s v="EL.PA"/>
        <s v="RACE.MI"/>
        <s v="WKL.AS"/>
        <s v="BAYN.DE"/>
        <s v="ADYEN.AS"/>
        <s v="DBK.DE"/>
        <s v="RHM.DE"/>
        <s v="ARGX.BR"/>
        <s v="AIR.PA"/>
        <s v="ONSW.DE"/>
        <s v="RMS.PA"/>
        <s v="ENI.MI"/>
        <s v="SGO.PA"/>
        <s v="IFX.DE"/>
        <s v="TTE.PA"/>
        <s v="UCG.MI"/>
        <s v="SAF.PA"/>
        <s v="INGA.AS"/>
        <s v="SAN.MC"/>
        <s v="ITX.MC"/>
        <s v="BNP.PA"/>
      </sharedItems>
    </cacheField>
    <cacheField name="Acción" numFmtId="0">
      <sharedItems containsBlank="1"/>
    </cacheField>
    <cacheField name="Cantidad" numFmtId="0">
      <sharedItems containsSemiMixedTypes="0" containsString="0" containsNumber="1" minValue="-10000000" maxValue="56041"/>
    </cacheField>
    <cacheField name="Precio" numFmtId="6">
      <sharedItems containsSemiMixedTypes="0" containsString="0" containsNumber="1" minValue="1" maxValue="1656"/>
    </cacheField>
    <cacheField name="CT" numFmtId="0">
      <sharedItems containsSemiMixedTypes="0" containsString="0" containsNumber="1" minValue="5.0000000000000001E-4" maxValue="5.0000000000000001E-4"/>
    </cacheField>
    <cacheField name="Precio Ejecutado" numFmtId="6">
      <sharedItems containsSemiMixedTypes="0" containsString="0" containsNumber="1" minValue="1" maxValue="1656.828"/>
    </cacheField>
    <cacheField name="Precio total" numFmtId="6">
      <sharedItems containsSemiMixedTypes="0" containsString="0" containsNumber="1" minValue="-1468496.8415325161" maxValue="10000000"/>
    </cacheField>
    <cacheField name="Days (Fecha)" numFmtId="0" databaseField="0">
      <fieldGroup base="0">
        <rangePr groupBy="days" startDate="2026-03-11T00:00:00" endDate="2026-05-02T00:00:00"/>
        <groupItems count="368">
          <s v="&lt;11/03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/05/2026"/>
        </groupItems>
      </fieldGroup>
    </cacheField>
    <cacheField name="Months (Fecha)" numFmtId="0" databaseField="0">
      <fieldGroup base="0">
        <rangePr groupBy="months" startDate="2026-03-11T00:00:00" endDate="2026-05-02T00:00:00"/>
        <groupItems count="14">
          <s v="&lt;11/03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x v="0"/>
    <m/>
    <n v="-10000000"/>
    <n v="1"/>
    <n v="5.0000000000000001E-4"/>
    <n v="1"/>
    <n v="10000000"/>
  </r>
  <r>
    <x v="1"/>
    <x v="1"/>
    <s v="COMPRA"/>
    <n v="564"/>
    <n v="1180.40002441406"/>
    <n v="5.0000000000000001E-4"/>
    <n v="1181.5804000000001"/>
    <n v="-666411.3456"/>
  </r>
  <r>
    <x v="1"/>
    <x v="2"/>
    <s v="COMPRA"/>
    <n v="4362"/>
    <n v="152.64999389648401"/>
    <n v="5.0000000000000001E-4"/>
    <n v="152.80260000000001"/>
    <n v="-666524.9412"/>
  </r>
  <r>
    <x v="1"/>
    <x v="3"/>
    <s v="COMPRA"/>
    <n v="36623"/>
    <n v="18.184999465942301"/>
    <n v="5.0000000000000001E-4"/>
    <n v="18.203199999999999"/>
    <n v="-666655.79359999998"/>
  </r>
  <r>
    <x v="1"/>
    <x v="4"/>
    <s v="COMPRA"/>
    <n v="4716"/>
    <n v="141.19999694824199"/>
    <n v="5.0000000000000001E-4"/>
    <n v="141.34119999999999"/>
    <n v="-666565.09919999994"/>
  </r>
  <r>
    <x v="1"/>
    <x v="5"/>
    <s v="COMPRA"/>
    <n v="14659"/>
    <n v="45.430000305175703"/>
    <n v="5.0000000000000001E-4"/>
    <n v="45.4754"/>
    <n v="-666623.88860000006"/>
  </r>
  <r>
    <x v="1"/>
    <x v="6"/>
    <s v="COMPRA"/>
    <n v="3987"/>
    <n v="167.02000427246"/>
    <n v="5.0000000000000001E-4"/>
    <n v="167.18700000000001"/>
    <n v="-666574.56900000002"/>
  </r>
  <r>
    <x v="1"/>
    <x v="7"/>
    <s v="COMPRA"/>
    <n v="3159"/>
    <n v="210.80000305175699"/>
    <n v="5.0000000000000001E-4"/>
    <n v="211.01079999999999"/>
    <n v="-666583.11719999998"/>
  </r>
  <r>
    <x v="1"/>
    <x v="8"/>
    <s v="COMPRA"/>
    <n v="2276"/>
    <n v="292.600006103515"/>
    <n v="5.0000000000000001E-4"/>
    <n v="292.89260000000002"/>
    <n v="-666623.55760000006"/>
  </r>
  <r>
    <x v="1"/>
    <x v="9"/>
    <s v="COMPRA"/>
    <n v="9919"/>
    <n v="67.139999389648395"/>
    <n v="5.0000000000000001E-4"/>
    <n v="67.207099999999997"/>
    <n v="-666627.22489999991"/>
  </r>
  <r>
    <x v="1"/>
    <x v="10"/>
    <s v="COMPRA"/>
    <n v="17020"/>
    <n v="39.130001068115199"/>
    <n v="5.0000000000000001E-4"/>
    <n v="39.1691"/>
    <n v="-666658.08200000005"/>
  </r>
  <r>
    <x v="1"/>
    <x v="11"/>
    <s v="COMPRA"/>
    <n v="726"/>
    <n v="917.29998779296795"/>
    <n v="5.0000000000000001E-4"/>
    <n v="918.21730000000002"/>
    <n v="-666625.7598"/>
  </r>
  <r>
    <x v="1"/>
    <x v="12"/>
    <s v="COMPRA"/>
    <n v="25909"/>
    <n v="25.704999923706001"/>
    <n v="5.0000000000000001E-4"/>
    <n v="25.730699999999999"/>
    <n v="-666656.70629999996"/>
  </r>
  <r>
    <x v="1"/>
    <x v="13"/>
    <s v="COMPRA"/>
    <n v="429"/>
    <n v="1550.5"/>
    <n v="5.0000000000000001E-4"/>
    <n v="1552.0505000000001"/>
    <n v="-665829.66450000007"/>
  </r>
  <r>
    <x v="1"/>
    <x v="14"/>
    <s v="COMPRA"/>
    <n v="1081"/>
    <n v="616"/>
    <n v="5.0000000000000001E-4"/>
    <n v="616.61599999999999"/>
    <n v="-666561.89599999995"/>
  </r>
  <r>
    <x v="1"/>
    <x v="15"/>
    <s v="COMPRA"/>
    <n v="3871"/>
    <n v="172.03999328613199"/>
    <n v="5.0000000000000001E-4"/>
    <n v="172.21199999999999"/>
    <n v="-666632.652"/>
  </r>
  <r>
    <x v="1"/>
    <x v="16"/>
    <s v="COMPRA"/>
    <n v="366.96075312617717"/>
    <n v="5.0297000000000001"/>
    <n v="5.0000000000000001E-4"/>
    <n v="5.0297000000000001"/>
    <n v="-1845.7024999987334"/>
  </r>
  <r>
    <x v="2"/>
    <x v="7"/>
    <s v="COMPRA"/>
    <n v="74"/>
    <n v="194.75"/>
    <n v="5.0000000000000001E-4"/>
    <n v="194.847375"/>
    <n v="-14418.705749999999"/>
  </r>
  <r>
    <x v="2"/>
    <x v="11"/>
    <s v="COMPRA"/>
    <n v="3"/>
    <n v="863.5"/>
    <n v="5.0000000000000001E-4"/>
    <n v="863.93174999999997"/>
    <n v="-2591.7952500000001"/>
  </r>
  <r>
    <x v="2"/>
    <x v="5"/>
    <s v="COMPRA"/>
    <n v="1077"/>
    <n v="40.020000457763601"/>
    <n v="5.0000000000000001E-4"/>
    <n v="40.040010457992501"/>
    <n v="-43123.091263257927"/>
  </r>
  <r>
    <x v="2"/>
    <x v="2"/>
    <s v="COMPRA"/>
    <n v="112"/>
    <n v="140.75"/>
    <n v="5.0000000000000001E-4"/>
    <n v="140.82037499999899"/>
    <n v="-15771.881999999887"/>
  </r>
  <r>
    <x v="2"/>
    <x v="4"/>
    <s v="COMPRA"/>
    <n v="1"/>
    <n v="133.5"/>
    <n v="5.0000000000000001E-4"/>
    <n v="133.56674999999899"/>
    <n v="-133.56674999999899"/>
  </r>
  <r>
    <x v="2"/>
    <x v="8"/>
    <s v="COMPRA"/>
    <n v="24"/>
    <n v="273.79998779296801"/>
    <n v="5.0000000000000001E-4"/>
    <n v="273.93688778686499"/>
    <n v="-6574.4853068847597"/>
  </r>
  <r>
    <x v="2"/>
    <x v="6"/>
    <s v="COMPRA"/>
    <n v="107"/>
    <n v="153.82000732421801"/>
    <n v="5.0000000000000001E-4"/>
    <n v="153.89691732788"/>
    <n v="-16466.970154083159"/>
  </r>
  <r>
    <x v="2"/>
    <x v="17"/>
    <s v="COMPRA"/>
    <n v="380"/>
    <n v="1656"/>
    <n v="5.0000000000000001E-4"/>
    <n v="1656.828"/>
    <n v="-629594.64"/>
  </r>
  <r>
    <x v="2"/>
    <x v="18"/>
    <s v="COMPRA"/>
    <n v="26650"/>
    <n v="23.620000839233398"/>
    <n v="5.0000000000000001E-4"/>
    <n v="23.631810839652999"/>
    <n v="-629787.75887675246"/>
  </r>
  <r>
    <x v="2"/>
    <x v="19"/>
    <s v="COMPRA"/>
    <n v="9246"/>
    <n v="68.080001831054602"/>
    <n v="5.0000000000000001E-4"/>
    <n v="68.114041831970198"/>
    <n v="-629782.43077839643"/>
  </r>
  <r>
    <x v="2"/>
    <x v="9"/>
    <s v="VENTA"/>
    <n v="-294"/>
    <n v="65.440002441406193"/>
    <n v="5.0000000000000001E-4"/>
    <n v="65.407282440185497"/>
    <n v="19229.741037414537"/>
  </r>
  <r>
    <x v="2"/>
    <x v="14"/>
    <s v="VENTA"/>
    <n v="-4"/>
    <n v="584.79998779296795"/>
    <n v="5.0000000000000001E-4"/>
    <n v="584.50758779907198"/>
    <n v="2338.0303511962879"/>
  </r>
  <r>
    <x v="2"/>
    <x v="10"/>
    <s v="VENTA"/>
    <n v="-612"/>
    <n v="38.384998321533203"/>
    <n v="5.0000000000000001E-4"/>
    <n v="38.365805822372401"/>
    <n v="23479.873163291908"/>
  </r>
  <r>
    <x v="2"/>
    <x v="12"/>
    <s v="VENTA"/>
    <n v="-472"/>
    <n v="24.7600002288818"/>
    <n v="5.0000000000000001E-4"/>
    <n v="24.7476202287673"/>
    <n v="11680.876747978165"/>
  </r>
  <r>
    <x v="2"/>
    <x v="3"/>
    <s v="VENTA"/>
    <n v="-36623"/>
    <n v="17.924999237060501"/>
    <n v="5.0000000000000001E-4"/>
    <n v="17.916036737441999"/>
    <n v="656139.01343533839"/>
  </r>
  <r>
    <x v="2"/>
    <x v="13"/>
    <s v="VENTA"/>
    <n v="-429"/>
    <n v="1503"/>
    <n v="5.0000000000000001E-4"/>
    <n v="1502.2484999999999"/>
    <n v="644464.60649999999"/>
  </r>
  <r>
    <x v="2"/>
    <x v="1"/>
    <s v="VENTA"/>
    <n v="-5"/>
    <n v="1128.19995117187"/>
    <n v="5.0000000000000001E-4"/>
    <n v="1127.6358511962801"/>
    <n v="5638.1792559814003"/>
  </r>
  <r>
    <x v="2"/>
    <x v="15"/>
    <s v="VENTA"/>
    <n v="-3871"/>
    <n v="160.919998168945"/>
    <n v="5.0000000000000001E-4"/>
    <n v="160.83953816985999"/>
    <n v="622609.85225552798"/>
  </r>
  <r>
    <x v="3"/>
    <x v="20"/>
    <s v="COMPRA"/>
    <n v="5846"/>
    <n v="37.430000305175703"/>
    <n v="5.0000000000000001E-4"/>
    <n v="37.4487153053283"/>
    <n v="-218925.18967494924"/>
  </r>
  <r>
    <x v="3"/>
    <x v="18"/>
    <s v="COMPRA"/>
    <n v="34714"/>
    <n v="23.924999237060501"/>
    <n v="5.0000000000000001E-4"/>
    <n v="23.936961736678999"/>
    <n v="-830947.68972707482"/>
  </r>
  <r>
    <x v="3"/>
    <x v="1"/>
    <s v="COMPRA"/>
    <n v="279"/>
    <n v="1146.40002441406"/>
    <n v="5.0000000000000001E-4"/>
    <n v="1146.97322442626"/>
    <n v="-320005.52961492655"/>
  </r>
  <r>
    <x v="3"/>
    <x v="13"/>
    <s v="COMPRA"/>
    <n v="221"/>
    <n v="1379.5"/>
    <n v="5.0000000000000001E-4"/>
    <n v="1380.18975"/>
    <n v="-305021.93475000001"/>
  </r>
  <r>
    <x v="3"/>
    <x v="21"/>
    <s v="COMPRA"/>
    <n v="18700"/>
    <n v="78.489997863769503"/>
    <n v="5.0000000000000001E-4"/>
    <n v="78.529242862701395"/>
    <n v="-1468496.8415325161"/>
  </r>
  <r>
    <x v="3"/>
    <x v="22"/>
    <s v="COMPRA"/>
    <n v="12173"/>
    <n v="60.220001220703097"/>
    <n v="5.0000000000000001E-4"/>
    <n v="60.250111221313396"/>
    <n v="-733424.60389704793"/>
  </r>
  <r>
    <x v="3"/>
    <x v="23"/>
    <s v="COMPRA"/>
    <n v="1724"/>
    <n v="278.39999389648398"/>
    <n v="5.0000000000000001E-4"/>
    <n v="278.53919389343201"/>
    <n v="-480201.57027227682"/>
  </r>
  <r>
    <x v="3"/>
    <x v="24"/>
    <s v="COMPRA"/>
    <n v="34709"/>
    <n v="21.7199993133544"/>
    <n v="5.0000000000000001E-4"/>
    <n v="21.730859313011099"/>
    <n v="-754256.39589530218"/>
  </r>
  <r>
    <x v="3"/>
    <x v="25"/>
    <s v="COMPRA"/>
    <n v="56041"/>
    <n v="9.4020004272460902"/>
    <n v="5.0000000000000001E-4"/>
    <n v="9.4067014274597103"/>
    <n v="-527160.95469626959"/>
  </r>
  <r>
    <x v="3"/>
    <x v="10"/>
    <s v="VENTA"/>
    <n v="-1609"/>
    <n v="38.259998321533203"/>
    <n v="5.0000000000000001E-4"/>
    <n v="38.2408683223724"/>
    <n v="61529.557130697191"/>
  </r>
  <r>
    <x v="3"/>
    <x v="19"/>
    <s v="VENTA"/>
    <n v="-1553"/>
    <n v="69.120002746582003"/>
    <n v="5.0000000000000001E-4"/>
    <n v="69.085442745208695"/>
    <n v="107289.69258330911"/>
  </r>
  <r>
    <x v="3"/>
    <x v="12"/>
    <s v="VENTA"/>
    <n v="-13938"/>
    <n v="24.915000915527301"/>
    <n v="5.0000000000000001E-4"/>
    <n v="24.902543415069498"/>
    <n v="347091.65011923865"/>
  </r>
  <r>
    <x v="3"/>
    <x v="4"/>
    <s v="VENTA"/>
    <n v="-2845"/>
    <n v="132.05000305175699"/>
    <n v="5.0000000000000001E-4"/>
    <n v="131.983978050231"/>
    <n v="375494.41755290719"/>
  </r>
  <r>
    <x v="3"/>
    <x v="5"/>
    <s v="VENTA"/>
    <n v="-15736"/>
    <n v="38.720001220703097"/>
    <n v="5.0000000000000001E-4"/>
    <n v="38.700641220092699"/>
    <n v="608993.29023937869"/>
  </r>
  <r>
    <x v="3"/>
    <x v="7"/>
    <s v="VENTA"/>
    <n v="-3233"/>
    <n v="194.80000305175699"/>
    <n v="5.0000000000000001E-4"/>
    <n v="194.702603050231"/>
    <n v="629473.51566139678"/>
  </r>
  <r>
    <x v="3"/>
    <x v="14"/>
    <s v="VENTA"/>
    <n v="-1077"/>
    <n v="607.40002441406205"/>
    <n v="5.0000000000000001E-4"/>
    <n v="607.09632440185499"/>
    <n v="653842.74138079782"/>
  </r>
  <r>
    <x v="3"/>
    <x v="17"/>
    <s v="VENTA"/>
    <n v="-380"/>
    <n v="1621.5"/>
    <n v="5.0000000000000001E-4"/>
    <n v="1620.6892499999999"/>
    <n v="615861.91499999992"/>
  </r>
  <r>
    <x v="3"/>
    <x v="9"/>
    <s v="VENTA"/>
    <n v="-9625"/>
    <n v="62.319999694824197"/>
    <n v="5.0000000000000001E-4"/>
    <n v="62.288839694976801"/>
    <n v="599530.08206415176"/>
  </r>
  <r>
    <x v="3"/>
    <x v="8"/>
    <s v="VENTA"/>
    <n v="-2300"/>
    <n v="278.29998779296801"/>
    <n v="5.0000000000000001E-4"/>
    <n v="278.160837799072"/>
    <n v="639769.92693786556"/>
  </r>
  <r>
    <x v="3"/>
    <x v="6"/>
    <s v="VENTA"/>
    <n v="-4094"/>
    <n v="142.55999755859301"/>
    <n v="5.0000000000000001E-4"/>
    <n v="142.48871755981401"/>
    <n v="583348.80968987849"/>
  </r>
  <r>
    <x v="3"/>
    <x v="11"/>
    <s v="VENTA"/>
    <n v="-431"/>
    <n v="855.5"/>
    <n v="5.0000000000000001E-4"/>
    <n v="855.07225000000005"/>
    <n v="368536.13975000003"/>
  </r>
  <r>
    <x v="3"/>
    <x v="2"/>
    <s v="VENTA"/>
    <n v="-321"/>
    <n v="144.39999389648401"/>
    <n v="5.0000000000000001E-4"/>
    <n v="144.327793899536"/>
    <n v="46329.221841751059"/>
  </r>
  <r>
    <x v="4"/>
    <x v="10"/>
    <s v="COMPRA"/>
    <n v="7328"/>
    <n v="39.694999694824197"/>
    <n v="5.0000000000000001E-4"/>
    <n v="39.714847194671599"/>
    <n v="-291030.4002425535"/>
  </r>
  <r>
    <x v="4"/>
    <x v="3"/>
    <s v="COMPRA"/>
    <n v="37957"/>
    <n v="18.770000457763601"/>
    <n v="5.0000000000000001E-4"/>
    <n v="18.7793854579925"/>
    <n v="-712809.13382902136"/>
  </r>
  <r>
    <x v="4"/>
    <x v="8"/>
    <s v="COMPRA"/>
    <n v="782"/>
    <n v="295.5"/>
    <n v="5.0000000000000001E-4"/>
    <n v="295.64774999999997"/>
    <n v="-231196.54049999997"/>
  </r>
  <r>
    <x v="4"/>
    <x v="23"/>
    <s v="COMPRA"/>
    <n v="246"/>
    <n v="287.29998779296801"/>
    <n v="5.0000000000000001E-4"/>
    <n v="287.443637786865"/>
    <n v="-70711.134895568786"/>
  </r>
  <r>
    <x v="4"/>
    <x v="1"/>
    <s v="COMPRA"/>
    <n v="314"/>
    <n v="1161"/>
    <n v="5.0000000000000001E-4"/>
    <n v="1161.5805"/>
    <n v="-364736.277"/>
  </r>
  <r>
    <x v="4"/>
    <x v="4"/>
    <s v="COMPRA"/>
    <n v="947"/>
    <n v="134.89999389648401"/>
    <n v="5.0000000000000001E-4"/>
    <n v="134.96744389343201"/>
    <n v="-127814.1693670801"/>
  </r>
  <r>
    <x v="4"/>
    <x v="12"/>
    <s v="COMPRA"/>
    <n v="1216"/>
    <n v="25.674999237060501"/>
    <n v="5.0000000000000001E-4"/>
    <n v="25.687836736678999"/>
    <n v="-31236.409471801664"/>
  </r>
  <r>
    <x v="4"/>
    <x v="20"/>
    <s v="COMPRA"/>
    <n v="6143"/>
    <n v="38.959999084472599"/>
    <n v="5.0000000000000001E-4"/>
    <n v="38.979479084014798"/>
    <n v="-239450.9400131029"/>
  </r>
  <r>
    <x v="4"/>
    <x v="21"/>
    <s v="COMPRA"/>
    <n v="2177"/>
    <n v="79.419998168945298"/>
    <n v="5.0000000000000001E-4"/>
    <n v="79.459708168029707"/>
    <n v="-172983.78468180067"/>
  </r>
  <r>
    <x v="4"/>
    <x v="19"/>
    <s v="VENTA"/>
    <n v="-3861"/>
    <n v="70.519996643066406"/>
    <n v="5.0000000000000001E-4"/>
    <n v="70.4847366447448"/>
    <n v="272141.56818535965"/>
  </r>
  <r>
    <x v="4"/>
    <x v="2"/>
    <s v="VENTA"/>
    <n v="-2461"/>
    <n v="149.69999694824199"/>
    <n v="5.0000000000000001E-4"/>
    <n v="149.62514694976801"/>
    <n v="368227.48664337909"/>
  </r>
  <r>
    <x v="4"/>
    <x v="22"/>
    <s v="VENTA"/>
    <n v="-12173"/>
    <n v="62.659999847412102"/>
    <n v="5.0000000000000001E-4"/>
    <n v="62.628669847488403"/>
    <n v="762378.79805347638"/>
  </r>
  <r>
    <x v="4"/>
    <x v="24"/>
    <s v="VENTA"/>
    <n v="-5905"/>
    <n v="22.944999694824201"/>
    <n v="5.0000000000000001E-4"/>
    <n v="22.933527194976801"/>
    <n v="135422.478086338"/>
  </r>
  <r>
    <x v="4"/>
    <x v="18"/>
    <s v="VENTA"/>
    <n v="-12852"/>
    <n v="24.684999465942301"/>
    <n v="5.0000000000000001E-4"/>
    <n v="24.672656966209399"/>
    <n v="317092.9873297232"/>
  </r>
  <r>
    <x v="4"/>
    <x v="13"/>
    <s v="VENTA"/>
    <n v="-221"/>
    <n v="1570.5"/>
    <n v="5.0000000000000001E-4"/>
    <n v="1569.7147500000001"/>
    <n v="346906.95975000004"/>
  </r>
  <r>
    <x v="4"/>
    <x v="25"/>
    <s v="VENTA"/>
    <n v="-4227"/>
    <n v="9.8140001296996999"/>
    <n v="5.0000000000000001E-4"/>
    <n v="9.8090931296348494"/>
    <n v="41463.036658966506"/>
  </r>
  <r>
    <x v="5"/>
    <x v="5"/>
    <s v="COMPRA"/>
    <n v="2584"/>
    <n v="41.555000305175703"/>
    <n v="5.0000000000000001E-4"/>
    <n v="41.5757778053283"/>
    <n v="-107431.80984896833"/>
  </r>
  <r>
    <x v="5"/>
    <x v="25"/>
    <s v="COMPRA"/>
    <n v="19597"/>
    <n v="10.5159997940063"/>
    <n v="5.0000000000000001E-4"/>
    <n v="10.521257793903301"/>
    <n v="-206185.08898712299"/>
  </r>
  <r>
    <x v="5"/>
    <x v="2"/>
    <s v="COMPRA"/>
    <n v="6951"/>
    <n v="167.22000122070301"/>
    <n v="5.0000000000000001E-4"/>
    <n v="167.30361122131299"/>
    <n v="-1162927.4015993467"/>
  </r>
  <r>
    <x v="5"/>
    <x v="12"/>
    <s v="COMPRA"/>
    <n v="663"/>
    <n v="27.709999084472599"/>
    <n v="5.0000000000000001E-4"/>
    <n v="27.7238540840148"/>
    <n v="-18380.915257701814"/>
  </r>
  <r>
    <x v="5"/>
    <x v="4"/>
    <s v="COMPRA"/>
    <n v="1900"/>
    <n v="137.80000305175699"/>
    <n v="5.0000000000000001E-4"/>
    <n v="137.86890305328299"/>
    <n v="-261950.91580123769"/>
  </r>
  <r>
    <x v="5"/>
    <x v="21"/>
    <s v="COMPRA"/>
    <n v="3599"/>
    <n v="78.610000610351506"/>
    <n v="5.0000000000000001E-4"/>
    <n v="78.649305610656697"/>
    <n v="-283058.85089275346"/>
  </r>
  <r>
    <x v="5"/>
    <x v="10"/>
    <s v="COMPRA"/>
    <n v="5804"/>
    <n v="40.119998931884702"/>
    <n v="5.0000000000000001E-4"/>
    <n v="40.140058931350701"/>
    <n v="-232972.90203755946"/>
  </r>
  <r>
    <x v="5"/>
    <x v="18"/>
    <s v="VENTA"/>
    <n v="-3328"/>
    <n v="23.9500007629394"/>
    <n v="5.0000000000000001E-4"/>
    <n v="23.938025762557899"/>
    <n v="79665.749737792692"/>
  </r>
  <r>
    <x v="5"/>
    <x v="3"/>
    <s v="VENTA"/>
    <n v="-36557"/>
    <n v="19.704999923706001"/>
    <n v="5.0000000000000001E-4"/>
    <n v="19.695147423744199"/>
    <n v="719995.50436981674"/>
  </r>
  <r>
    <x v="5"/>
    <x v="23"/>
    <s v="VENTA"/>
    <n v="-400"/>
    <n v="313.29998779296801"/>
    <n v="5.0000000000000001E-4"/>
    <n v="313.14333779907201"/>
    <n v="125257.33511962881"/>
  </r>
  <r>
    <x v="5"/>
    <x v="11"/>
    <s v="VENTA"/>
    <n v="-294"/>
    <n v="858.79998779296795"/>
    <n v="5.0000000000000001E-4"/>
    <n v="858.37058779907204"/>
    <n v="252360.95281292719"/>
  </r>
  <r>
    <x v="5"/>
    <x v="19"/>
    <s v="VENTA"/>
    <n v="-3049"/>
    <n v="76"/>
    <n v="5.0000000000000001E-4"/>
    <n v="75.962000000000003"/>
    <n v="231608.13800000001"/>
  </r>
  <r>
    <x v="5"/>
    <x v="1"/>
    <s v="VENTA"/>
    <n v="-569"/>
    <n v="1270"/>
    <n v="5.0000000000000001E-4"/>
    <n v="1269.365"/>
    <n v="722268.68500000006"/>
  </r>
  <r>
    <x v="5"/>
    <x v="20"/>
    <s v="VENTA"/>
    <n v="-2481"/>
    <n v="42.825000762939403"/>
    <n v="5.0000000000000001E-4"/>
    <n v="42.803588262557902"/>
    <n v="106195.70247940616"/>
  </r>
  <r>
    <x v="5"/>
    <x v="8"/>
    <s v="VENTA"/>
    <n v="-115"/>
    <n v="301.64999389648398"/>
    <n v="5.0000000000000001E-4"/>
    <n v="301.49916889953602"/>
    <n v="34672.404423446642"/>
  </r>
  <r>
    <x v="6"/>
    <x v="21"/>
    <s v="COMPRA"/>
    <n v="2329"/>
    <n v="73.069999694824205"/>
    <n v="5.0000000000000001E-4"/>
    <n v="73.106534694671595"/>
    <n v="-170265.11930389015"/>
  </r>
  <r>
    <x v="6"/>
    <x v="12"/>
    <s v="COMPRA"/>
    <n v="6891"/>
    <n v="28.909999847412099"/>
    <n v="5.0000000000000001E-4"/>
    <n v="28.924454847335799"/>
    <n v="-199318.41835299099"/>
  </r>
  <r>
    <x v="6"/>
    <x v="9"/>
    <s v="COMPRA"/>
    <n v="3946"/>
    <n v="71.339996337890597"/>
    <n v="5.0000000000000001E-4"/>
    <n v="71.375666336059496"/>
    <n v="-281648.37936209078"/>
  </r>
  <r>
    <x v="6"/>
    <x v="26"/>
    <s v="COMPRA"/>
    <n v="4327"/>
    <n v="55.020000457763601"/>
    <n v="5.0000000000000001E-4"/>
    <n v="55.047510457992502"/>
    <n v="-238190.57775173357"/>
  </r>
  <r>
    <x v="6"/>
    <x v="6"/>
    <s v="COMPRA"/>
    <n v="1388"/>
    <n v="156.24000549316401"/>
    <n v="5.0000000000000001E-4"/>
    <n v="156.31812549591001"/>
    <n v="-216969.55818832311"/>
  </r>
  <r>
    <x v="6"/>
    <x v="10"/>
    <s v="COMPRA"/>
    <n v="19134"/>
    <n v="41.099998474121001"/>
    <n v="5.0000000000000001E-4"/>
    <n v="41.120548473358099"/>
    <n v="-786800.5744892339"/>
  </r>
  <r>
    <x v="6"/>
    <x v="3"/>
    <s v="COMPRA"/>
    <n v="832"/>
    <n v="20.309999465942301"/>
    <n v="5.0000000000000001E-4"/>
    <n v="20.320154465675301"/>
    <n v="-16906.368515441849"/>
  </r>
  <r>
    <x v="6"/>
    <x v="1"/>
    <s v="COMPRA"/>
    <n v="674"/>
    <n v="1244"/>
    <n v="5.0000000000000001E-4"/>
    <n v="1244.6219999999901"/>
    <n v="-838875.22799999325"/>
  </r>
  <r>
    <x v="6"/>
    <x v="19"/>
    <s v="VENTA"/>
    <n v="-1765"/>
    <n v="81.440002441406193"/>
    <n v="5.0000000000000001E-4"/>
    <n v="81.399282440185502"/>
    <n v="143669.73350692741"/>
  </r>
  <r>
    <x v="6"/>
    <x v="11"/>
    <s v="VENTA"/>
    <n v="-81"/>
    <n v="984.90002441406205"/>
    <n v="5.0000000000000001E-4"/>
    <n v="984.40757440185496"/>
    <n v="79737.013526550247"/>
  </r>
  <r>
    <x v="6"/>
    <x v="5"/>
    <s v="VENTA"/>
    <n v="-803"/>
    <n v="44.330001831054602"/>
    <n v="5.0000000000000001E-4"/>
    <n v="44.307836830139102"/>
    <n v="35579.192974601698"/>
  </r>
  <r>
    <x v="6"/>
    <x v="20"/>
    <s v="VENTA"/>
    <n v="-6028"/>
    <n v="48.900001525878899"/>
    <n v="5.0000000000000001E-4"/>
    <n v="48.875551525115903"/>
    <n v="294621.82459339866"/>
  </r>
  <r>
    <x v="6"/>
    <x v="18"/>
    <s v="VENTA"/>
    <n v="-938"/>
    <n v="21.7600002288818"/>
    <n v="5.0000000000000001E-4"/>
    <n v="21.7491202287673"/>
    <n v="20400.674774583727"/>
  </r>
  <r>
    <x v="6"/>
    <x v="2"/>
    <s v="VENTA"/>
    <n v="-4228"/>
    <n v="172.05999755859301"/>
    <n v="5.0000000000000001E-4"/>
    <n v="171.97396755981401"/>
    <n v="727105.93484289362"/>
  </r>
  <r>
    <x v="6"/>
    <x v="25"/>
    <s v="VENTA"/>
    <n v="-50484"/>
    <n v="11.041999816894499"/>
    <n v="5.0000000000000001E-4"/>
    <n v="11.036478816986"/>
    <n v="557165.59659672121"/>
  </r>
  <r>
    <x v="6"/>
    <x v="8"/>
    <s v="VENTA"/>
    <n v="-1010"/>
    <n v="321.100006103515"/>
    <n v="5.0000000000000001E-4"/>
    <n v="320.93945610046302"/>
    <n v="324148.85066146764"/>
  </r>
  <r>
    <x v="6"/>
    <x v="23"/>
    <s v="VENTA"/>
    <n v="-1147"/>
    <n v="315.29998779296801"/>
    <n v="5.0000000000000001E-4"/>
    <n v="315.14233779907198"/>
    <n v="361468.26145553554"/>
  </r>
  <r>
    <x v="6"/>
    <x v="4"/>
    <s v="VENTA"/>
    <n v="-1401"/>
    <n v="146.39999389648401"/>
    <n v="5.0000000000000001E-4"/>
    <n v="146.326793899536"/>
    <n v="205003.83825324994"/>
  </r>
  <r>
    <x v="7"/>
    <x v="5"/>
    <s v="COMPRA"/>
    <n v="2251"/>
    <n v="41.534999847412102"/>
    <n v="5.0000000000000001E-4"/>
    <n v="41.555767347335802"/>
    <n v="-93542.032298852893"/>
  </r>
  <r>
    <x v="7"/>
    <x v="18"/>
    <s v="COMPRA"/>
    <n v="10225"/>
    <n v="22.9500007629394"/>
    <n v="5.0000000000000001E-4"/>
    <n v="22.961475763320902"/>
    <n v="-234781.08967995623"/>
  </r>
  <r>
    <x v="7"/>
    <x v="3"/>
    <s v="COMPRA"/>
    <n v="9644"/>
    <n v="18.579999923706001"/>
    <n v="5.0000000000000001E-4"/>
    <n v="18.589289923667899"/>
    <n v="-179275.1120238532"/>
  </r>
  <r>
    <x v="7"/>
    <x v="6"/>
    <s v="COMPRA"/>
    <n v="208"/>
    <n v="147.27999877929599"/>
    <n v="5.0000000000000001E-4"/>
    <n v="147.35363877868599"/>
    <n v="-30649.556865966686"/>
  </r>
  <r>
    <x v="7"/>
    <x v="26"/>
    <s v="COMPRA"/>
    <n v="23473"/>
    <n v="52.560001373291001"/>
    <n v="5.0000000000000001E-4"/>
    <n v="52.586281373977599"/>
    <n v="-1234357.7826913763"/>
  </r>
  <r>
    <x v="7"/>
    <x v="9"/>
    <s v="COMPRA"/>
    <n v="1059"/>
    <n v="66.419998168945298"/>
    <n v="5.0000000000000001E-4"/>
    <n v="66.453208168029704"/>
    <n v="-70373.947449943458"/>
  </r>
  <r>
    <x v="7"/>
    <x v="11"/>
    <s v="COMPRA"/>
    <n v="175"/>
    <n v="975.09997558593705"/>
    <n v="5.0000000000000001E-4"/>
    <n v="975.58752557372998"/>
    <n v="-170727.81697540273"/>
  </r>
  <r>
    <x v="7"/>
    <x v="13"/>
    <s v="COMPRA"/>
    <n v="225"/>
    <n v="1319.19995117187"/>
    <n v="5.0000000000000001E-4"/>
    <n v="1319.85955114746"/>
    <n v="-296968.3990081785"/>
  </r>
  <r>
    <x v="7"/>
    <x v="20"/>
    <s v="COMPRA"/>
    <n v="11124"/>
    <n v="54.150001525878899"/>
    <n v="5.0000000000000001E-4"/>
    <n v="54.177076526641798"/>
    <n v="-602665.79928236338"/>
  </r>
  <r>
    <x v="7"/>
    <x v="2"/>
    <s v="COMPRA"/>
    <n v="3623"/>
    <n v="187.61999511718699"/>
    <n v="5.0000000000000001E-4"/>
    <n v="187.71380511474601"/>
    <n v="-680087.11593072477"/>
  </r>
  <r>
    <x v="7"/>
    <x v="19"/>
    <s v="VENTA"/>
    <n v="-1055"/>
    <n v="77.540000915527301"/>
    <n v="5.0000000000000001E-4"/>
    <n v="77.501230915069499"/>
    <n v="81763.798615398322"/>
  </r>
  <r>
    <x v="7"/>
    <x v="1"/>
    <s v="VENTA"/>
    <n v="-111"/>
    <n v="1249.59997558593"/>
    <n v="5.0000000000000001E-4"/>
    <n v="1248.9751755981399"/>
    <n v="138636.24449139353"/>
  </r>
  <r>
    <x v="7"/>
    <x v="4"/>
    <s v="VENTA"/>
    <n v="-577"/>
    <n v="136.25"/>
    <n v="5.0000000000000001E-4"/>
    <n v="136.18187499999999"/>
    <n v="78576.94187499999"/>
  </r>
  <r>
    <x v="7"/>
    <x v="10"/>
    <s v="VENTA"/>
    <n v="-27490"/>
    <n v="38.5"/>
    <n v="5.0000000000000001E-4"/>
    <n v="38.48075"/>
    <n v="1057835.8175000001"/>
  </r>
  <r>
    <x v="7"/>
    <x v="12"/>
    <s v="VENTA"/>
    <n v="-7468"/>
    <n v="27.059999465942301"/>
    <n v="5.0000000000000001E-4"/>
    <n v="27.046469466209398"/>
    <n v="201983.03397365179"/>
  </r>
  <r>
    <x v="7"/>
    <x v="23"/>
    <s v="VENTA"/>
    <n v="-1247"/>
    <n v="270"/>
    <n v="5.0000000000000001E-4"/>
    <n v="269.86500000000001"/>
    <n v="336521.65500000003"/>
  </r>
  <r>
    <x v="7"/>
    <x v="21"/>
    <s v="VENTA"/>
    <n v="-22074"/>
    <n v="77"/>
    <n v="5.0000000000000001E-4"/>
    <n v="76.961500000000001"/>
    <n v="1698848.1510000001"/>
  </r>
  <r>
    <x v="8"/>
    <x v="19"/>
    <s v="COMPRA"/>
    <n v="2037"/>
    <n v="77.639999000000003"/>
    <n v="5.0000000000000001E-4"/>
    <n v="77.678818999499995"/>
    <n v="-158231.75430198148"/>
  </r>
  <r>
    <x v="8"/>
    <x v="8"/>
    <s v="COMPRA"/>
    <n v="343"/>
    <n v="293.35000600000001"/>
    <n v="5.0000000000000001E-4"/>
    <n v="293.49668100299999"/>
    <n v="-100669.361584029"/>
  </r>
  <r>
    <x v="8"/>
    <x v="23"/>
    <s v="COMPRA"/>
    <n v="824"/>
    <n v="273"/>
    <n v="5.0000000000000001E-4"/>
    <n v="273.13650000000001"/>
    <n v="-225064.47600000002"/>
  </r>
  <r>
    <x v="8"/>
    <x v="12"/>
    <s v="COMPRA"/>
    <n v="11411"/>
    <n v="26.5"/>
    <n v="5.0000000000000001E-4"/>
    <n v="26.513249999999999"/>
    <n v="-302542.69575000001"/>
  </r>
  <r>
    <x v="8"/>
    <x v="25"/>
    <s v="COMPRA"/>
    <n v="14533"/>
    <n v="10.3800001144409"/>
    <n v="5.0000000000000001E-4"/>
    <n v="10.3851901144981"/>
    <n v="-150927.96793400089"/>
  </r>
  <r>
    <x v="8"/>
    <x v="17"/>
    <s v="COMPRA"/>
    <n v="130"/>
    <n v="1623.5"/>
    <n v="5.0000000000000001E-4"/>
    <n v="1624.3117499999901"/>
    <n v="-211160.52749999872"/>
  </r>
  <r>
    <x v="8"/>
    <x v="27"/>
    <s v="COMPRA"/>
    <n v="4104"/>
    <n v="89.230003356933594"/>
    <n v="5.0000000000000001E-4"/>
    <n v="89.274618358612003"/>
    <n v="-366383.03374374367"/>
  </r>
  <r>
    <x v="8"/>
    <x v="2"/>
    <s v="COMPRA"/>
    <n v="380"/>
    <n v="180.58000183105401"/>
    <n v="5.0000000000000001E-4"/>
    <n v="180.67029183196999"/>
    <n v="-68654.710896148594"/>
  </r>
  <r>
    <x v="8"/>
    <x v="5"/>
    <s v="COMPRA"/>
    <n v="1204"/>
    <n v="41.069999694824197"/>
    <n v="5.0000000000000001E-4"/>
    <n v="41.090534694671597"/>
    <n v="-49473.003772384604"/>
  </r>
  <r>
    <x v="8"/>
    <x v="18"/>
    <s v="COMPRA"/>
    <n v="9077"/>
    <n v="24"/>
    <n v="5.0000000000000001E-4"/>
    <n v="24.012"/>
    <n v="-217956.924"/>
  </r>
  <r>
    <x v="8"/>
    <x v="10"/>
    <s v="COMPRA"/>
    <n v="15813"/>
    <n v="38.049999237060497"/>
    <n v="5.0000000000000001E-4"/>
    <n v="38.069024236678999"/>
    <n v="-601985.48025460506"/>
  </r>
  <r>
    <x v="8"/>
    <x v="11"/>
    <s v="COMPRA"/>
    <n v="147"/>
    <n v="958.5"/>
    <n v="5.0000000000000001E-4"/>
    <n v="958.97924999999998"/>
    <n v="-140969.94975"/>
  </r>
  <r>
    <x v="8"/>
    <x v="1"/>
    <s v="COMPRA"/>
    <n v="101"/>
    <n v="1222.40002441406"/>
    <n v="5.0000000000000001E-4"/>
    <n v="1223.01122442626"/>
    <n v="-123524.13366705226"/>
  </r>
  <r>
    <x v="8"/>
    <x v="3"/>
    <s v="COMPRA"/>
    <n v="26551"/>
    <n v="18.809999465942301"/>
    <n v="5.0000000000000001E-4"/>
    <n v="18.819404465675301"/>
    <n v="-499674.00796814496"/>
  </r>
  <r>
    <x v="8"/>
    <x v="9"/>
    <s v="VENTA"/>
    <n v="-1215"/>
    <n v="66.419998168945298"/>
    <n v="5.0000000000000001E-4"/>
    <n v="66.386788169860793"/>
    <n v="80659.947626380861"/>
  </r>
  <r>
    <x v="8"/>
    <x v="6"/>
    <s v="VENTA"/>
    <n v="-96"/>
    <n v="145.5"/>
    <n v="5.0000000000000001E-4"/>
    <n v="145.42724999999999"/>
    <n v="13961.016"/>
  </r>
  <r>
    <x v="8"/>
    <x v="21"/>
    <s v="VENTA"/>
    <n v="-4731"/>
    <n v="79.290000915527301"/>
    <n v="5.0000000000000001E-4"/>
    <n v="79.250355915069505"/>
    <n v="374933.43383419386"/>
  </r>
  <r>
    <x v="8"/>
    <x v="24"/>
    <s v="VENTA"/>
    <n v="-28804"/>
    <n v="24.754999160766602"/>
    <n v="5.0000000000000001E-4"/>
    <n v="24.742621661186199"/>
    <n v="712686.47432880732"/>
  </r>
  <r>
    <x v="8"/>
    <x v="4"/>
    <s v="VENTA"/>
    <n v="-2741"/>
    <n v="147.39999389648401"/>
    <n v="5.0000000000000001E-4"/>
    <n v="147.32629389953601"/>
    <n v="403821.3715786282"/>
  </r>
  <r>
    <x v="8"/>
    <x v="26"/>
    <s v="VENTA"/>
    <n v="-27800"/>
    <n v="50.580001831054602"/>
    <n v="5.0000000000000001E-4"/>
    <n v="50.554711830139098"/>
    <n v="1405420.9888778669"/>
  </r>
  <r>
    <x v="8"/>
    <x v="13"/>
    <s v="VENTA"/>
    <n v="-7"/>
    <n v="1355.80004882812"/>
    <n v="5.0000000000000001E-4"/>
    <n v="1355.1221488037099"/>
    <n v="9485.8550416259695"/>
  </r>
  <r>
    <x v="8"/>
    <x v="20"/>
    <s v="VENTA"/>
    <n v="-3779"/>
    <n v="57.130001068115199"/>
    <n v="5.0000000000000001E-4"/>
    <n v="57.101436067581098"/>
    <n v="215786.326899388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5CCB5-861C-4E63-A423-1C9A4AC3CFAA}" name="PivotTable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3" firstHeaderRow="1" firstDataRow="1" firstDataCol="1"/>
  <pivotFields count="10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t="default"/>
      </items>
    </pivotField>
    <pivotField showAll="0"/>
    <pivotField showAll="0"/>
    <pivotField showAll="0"/>
    <pivotField numFmtId="6" showAll="0"/>
    <pivotField showAll="0"/>
    <pivotField numFmtId="6" showAll="0"/>
    <pivotField dataField="1" numFmtId="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ecio total" fld="7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FF2E4-313D-4FF3-8D4A-C66D4400DAC9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7:AM28" firstHeaderRow="1" firstDataRow="2" firstDataCol="1"/>
  <pivotFields count="10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t="default"/>
      </items>
    </pivotField>
    <pivotField axis="axisCol" showAll="0">
      <items count="29">
        <item x="4"/>
        <item x="11"/>
        <item x="15"/>
        <item x="14"/>
        <item x="1"/>
        <item x="10"/>
        <item x="3"/>
        <item x="0"/>
        <item x="12"/>
        <item x="7"/>
        <item x="18"/>
        <item x="2"/>
        <item x="20"/>
        <item x="24"/>
        <item x="26"/>
        <item x="16"/>
        <item x="5"/>
        <item x="8"/>
        <item x="13"/>
        <item x="17"/>
        <item x="23"/>
        <item x="25"/>
        <item x="6"/>
        <item x="19"/>
        <item x="21"/>
        <item x="22"/>
        <item x="9"/>
        <item x="27"/>
        <item t="default"/>
      </items>
    </pivotField>
    <pivotField showAll="0"/>
    <pivotField dataField="1" showAll="0"/>
    <pivotField numFmtId="6" showAll="0"/>
    <pivotField showAll="0"/>
    <pivotField numFmtId="6" showAll="0"/>
    <pivotField numFmtId="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Sum of Cantida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3EA3D0-E1A3-419B-913B-26162BBCD494}" name="Operaciones_table" displayName="Operaciones_table" ref="A1:H146" totalsRowShown="0" headerRowDxfId="5">
  <autoFilter ref="A1:H146" xr:uid="{AF3EA3D0-E1A3-419B-913B-26162BBCD494}"/>
  <tableColumns count="8">
    <tableColumn id="1" xr3:uid="{44FA3C79-852A-4F12-92D9-096D28BC8418}" name="Fecha" dataDxfId="4"/>
    <tableColumn id="2" xr3:uid="{F91244B1-0D90-49D6-8C5E-74710714DBAE}" name="ID"/>
    <tableColumn id="3" xr3:uid="{A21132F4-DD79-4C51-BEA4-4132F3EE35CB}" name="Acción"/>
    <tableColumn id="4" xr3:uid="{6F333961-151C-4394-89A0-8580A62F023E}" name="Cantidad"/>
    <tableColumn id="5" xr3:uid="{42F80897-162E-4CCE-9055-2FE010A8018C}" name="Precio" dataDxfId="3"/>
    <tableColumn id="6" xr3:uid="{4564E466-B65B-45FE-ABC2-4D8C13865180}" name="CT" dataDxfId="2"/>
    <tableColumn id="7" xr3:uid="{D63DF80C-BC33-4512-86ED-550CC24A9DC5}" name="Precio Ejecutado" dataDxfId="1"/>
    <tableColumn id="8" xr3:uid="{18F4794A-A301-4F0D-9195-BDD639BB557C}" name="Precio total" dataDxfId="0">
      <calculatedColumnFormula>-Operaciones_table[[#This Row],[Precio Ejecutado]]*Operaciones_table[[#This Row],[Cantidad]]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6"/>
  <sheetViews>
    <sheetView showGridLines="0" tabSelected="1" topLeftCell="R14" zoomScaleNormal="100" workbookViewId="0">
      <selection activeCell="T20" sqref="T20"/>
    </sheetView>
  </sheetViews>
  <sheetFormatPr defaultRowHeight="15" x14ac:dyDescent="0.25"/>
  <cols>
    <col min="1" max="1" width="10.875" bestFit="1" customWidth="1"/>
    <col min="2" max="6" width="16.125" customWidth="1"/>
    <col min="7" max="8" width="17.75" customWidth="1"/>
    <col min="10" max="10" width="15.75" bestFit="1" customWidth="1"/>
    <col min="11" max="11" width="16.25" bestFit="1" customWidth="1"/>
    <col min="12" max="12" width="10.5" bestFit="1" customWidth="1"/>
    <col min="13" max="13" width="7.375" bestFit="1" customWidth="1"/>
    <col min="14" max="15" width="9.375" bestFit="1" customWidth="1"/>
    <col min="16" max="16" width="9.25" bestFit="1" customWidth="1"/>
    <col min="17" max="17" width="9.75" bestFit="1" customWidth="1"/>
    <col min="18" max="18" width="9.5" bestFit="1" customWidth="1"/>
    <col min="19" max="19" width="8" bestFit="1" customWidth="1"/>
    <col min="20" max="20" width="6.25" bestFit="1" customWidth="1"/>
    <col min="21" max="21" width="7.25" bestFit="1" customWidth="1"/>
    <col min="22" max="22" width="7.75" bestFit="1" customWidth="1"/>
    <col min="23" max="23" width="7.25" bestFit="1" customWidth="1"/>
    <col min="24" max="24" width="8.875" bestFit="1" customWidth="1"/>
    <col min="25" max="25" width="7.875" bestFit="1" customWidth="1"/>
    <col min="26" max="26" width="11.875" bestFit="1" customWidth="1"/>
    <col min="27" max="27" width="7.75" bestFit="1" customWidth="1"/>
    <col min="28" max="28" width="9" bestFit="1" customWidth="1"/>
    <col min="29" max="29" width="8.5" bestFit="1" customWidth="1"/>
    <col min="30" max="30" width="8.125" bestFit="1" customWidth="1"/>
    <col min="31" max="31" width="7.625" bestFit="1" customWidth="1"/>
    <col min="32" max="32" width="8.375" bestFit="1" customWidth="1"/>
    <col min="33" max="33" width="7.625" bestFit="1" customWidth="1"/>
    <col min="34" max="34" width="8" bestFit="1" customWidth="1"/>
    <col min="35" max="35" width="7.625" bestFit="1" customWidth="1"/>
    <col min="36" max="36" width="8" bestFit="1" customWidth="1"/>
    <col min="37" max="37" width="8.375" bestFit="1" customWidth="1"/>
    <col min="38" max="38" width="7.75" bestFit="1" customWidth="1"/>
    <col min="39" max="39" width="12.5" bestFit="1" customWidth="1"/>
    <col min="40" max="40" width="8.375" bestFit="1" customWidth="1"/>
    <col min="41" max="41" width="11.875" bestFit="1" customWidth="1"/>
    <col min="42" max="42" width="18.25" bestFit="1" customWidth="1"/>
    <col min="43" max="43" width="15.75" bestFit="1" customWidth="1"/>
    <col min="44" max="44" width="18.25" bestFit="1" customWidth="1"/>
    <col min="45" max="45" width="15.75" bestFit="1" customWidth="1"/>
    <col min="46" max="46" width="18.25" bestFit="1" customWidth="1"/>
    <col min="47" max="47" width="15.75" bestFit="1" customWidth="1"/>
    <col min="48" max="48" width="18.25" bestFit="1" customWidth="1"/>
    <col min="49" max="49" width="15.75" bestFit="1" customWidth="1"/>
    <col min="50" max="50" width="18.25" bestFit="1" customWidth="1"/>
    <col min="51" max="51" width="15.75" bestFit="1" customWidth="1"/>
    <col min="52" max="52" width="18.25" bestFit="1" customWidth="1"/>
    <col min="53" max="53" width="15.75" bestFit="1" customWidth="1"/>
    <col min="54" max="54" width="18.25" bestFit="1" customWidth="1"/>
    <col min="55" max="55" width="15.75" bestFit="1" customWidth="1"/>
    <col min="56" max="56" width="18.25" bestFit="1" customWidth="1"/>
    <col min="57" max="57" width="15.75" bestFit="1" customWidth="1"/>
    <col min="58" max="58" width="18.25" bestFit="1" customWidth="1"/>
    <col min="59" max="59" width="15.75" bestFit="1" customWidth="1"/>
    <col min="60" max="60" width="18.25" bestFit="1" customWidth="1"/>
    <col min="61" max="61" width="15.75" bestFit="1" customWidth="1"/>
    <col min="62" max="62" width="18.25" bestFit="1" customWidth="1"/>
    <col min="63" max="63" width="15.75" bestFit="1" customWidth="1"/>
    <col min="64" max="64" width="18.25" bestFit="1" customWidth="1"/>
    <col min="65" max="65" width="21.25" bestFit="1" customWidth="1"/>
    <col min="66" max="66" width="23.625" bestFit="1" customWidth="1"/>
  </cols>
  <sheetData>
    <row r="1" spans="1:11" x14ac:dyDescent="0.25">
      <c r="A1" s="1" t="s">
        <v>22</v>
      </c>
      <c r="B1" s="1" t="s">
        <v>0</v>
      </c>
      <c r="C1" s="1" t="s">
        <v>21</v>
      </c>
      <c r="D1" s="1" t="s">
        <v>4</v>
      </c>
      <c r="E1" s="1" t="s">
        <v>1</v>
      </c>
      <c r="F1" s="1" t="s">
        <v>2</v>
      </c>
      <c r="G1" s="1" t="s">
        <v>3</v>
      </c>
      <c r="H1" s="1" t="s">
        <v>44</v>
      </c>
    </row>
    <row r="2" spans="1:11" ht="19.5" x14ac:dyDescent="0.35">
      <c r="A2" s="4">
        <v>46092</v>
      </c>
      <c r="B2" t="s">
        <v>29</v>
      </c>
      <c r="D2">
        <v>-10000000</v>
      </c>
      <c r="E2" s="2">
        <v>1</v>
      </c>
      <c r="F2">
        <v>5.0000000000000001E-4</v>
      </c>
      <c r="G2" s="2">
        <v>1</v>
      </c>
      <c r="H2" s="2">
        <f>-Operaciones_table[[#This Row],[Precio Ejecutado]]*Operaciones_table[[#This Row],[Cantidad]]</f>
        <v>10000000</v>
      </c>
      <c r="I2" s="2"/>
      <c r="J2" s="9" t="s">
        <v>46</v>
      </c>
    </row>
    <row r="3" spans="1:11" x14ac:dyDescent="0.25">
      <c r="A3" s="4">
        <v>46093</v>
      </c>
      <c r="B3" t="s">
        <v>5</v>
      </c>
      <c r="C3" t="s">
        <v>23</v>
      </c>
      <c r="D3">
        <v>564</v>
      </c>
      <c r="E3" s="2">
        <v>1180.40002441406</v>
      </c>
      <c r="F3">
        <v>5.0000000000000001E-4</v>
      </c>
      <c r="G3" s="2">
        <v>1181.5804000000001</v>
      </c>
      <c r="H3" s="2">
        <f>-Operaciones_table[[#This Row],[Precio Ejecutado]]*Operaciones_table[[#This Row],[Cantidad]]</f>
        <v>-666411.3456</v>
      </c>
      <c r="I3" s="2"/>
      <c r="J3" s="6" t="s">
        <v>39</v>
      </c>
      <c r="K3" t="s">
        <v>43</v>
      </c>
    </row>
    <row r="4" spans="1:11" x14ac:dyDescent="0.25">
      <c r="A4" s="4">
        <v>46093</v>
      </c>
      <c r="B4" t="s">
        <v>6</v>
      </c>
      <c r="C4" t="s">
        <v>23</v>
      </c>
      <c r="D4">
        <v>4362</v>
      </c>
      <c r="E4" s="2">
        <v>152.64999389648401</v>
      </c>
      <c r="F4">
        <v>5.0000000000000001E-4</v>
      </c>
      <c r="G4" s="2">
        <v>152.80260000000001</v>
      </c>
      <c r="H4" s="2">
        <f>-Operaciones_table[[#This Row],[Precio Ejecutado]]*Operaciones_table[[#This Row],[Cantidad]]</f>
        <v>-666524.9412</v>
      </c>
      <c r="I4" s="2"/>
      <c r="J4" s="7">
        <v>46092</v>
      </c>
      <c r="K4" s="2">
        <v>10000000</v>
      </c>
    </row>
    <row r="5" spans="1:11" x14ac:dyDescent="0.25">
      <c r="A5" s="4">
        <v>46093</v>
      </c>
      <c r="B5" t="s">
        <v>7</v>
      </c>
      <c r="C5" t="s">
        <v>23</v>
      </c>
      <c r="D5">
        <v>36623</v>
      </c>
      <c r="E5" s="2">
        <v>18.184999465942301</v>
      </c>
      <c r="F5">
        <v>5.0000000000000001E-4</v>
      </c>
      <c r="G5" s="2">
        <v>18.203199999999999</v>
      </c>
      <c r="H5" s="2">
        <f>-Operaciones_table[[#This Row],[Precio Ejecutado]]*Operaciones_table[[#This Row],[Cantidad]]</f>
        <v>-666655.79359999998</v>
      </c>
      <c r="I5" s="2"/>
      <c r="J5" s="7">
        <v>46093</v>
      </c>
      <c r="K5" s="2">
        <v>-10000000</v>
      </c>
    </row>
    <row r="6" spans="1:11" x14ac:dyDescent="0.25">
      <c r="A6" s="4">
        <v>46093</v>
      </c>
      <c r="B6" t="s">
        <v>8</v>
      </c>
      <c r="C6" t="s">
        <v>23</v>
      </c>
      <c r="D6">
        <v>4716</v>
      </c>
      <c r="E6" s="2">
        <v>141.19999694824199</v>
      </c>
      <c r="F6">
        <v>5.0000000000000001E-4</v>
      </c>
      <c r="G6" s="2">
        <v>141.34119999999999</v>
      </c>
      <c r="H6" s="2">
        <f>-Operaciones_table[[#This Row],[Precio Ejecutado]]*Operaciones_table[[#This Row],[Cantidad]]</f>
        <v>-666565.09919999994</v>
      </c>
      <c r="I6" s="2"/>
      <c r="J6" s="7">
        <v>46101</v>
      </c>
      <c r="K6" s="2">
        <v>-2665.1533826459199</v>
      </c>
    </row>
    <row r="7" spans="1:11" x14ac:dyDescent="0.25">
      <c r="A7" s="4">
        <v>46093</v>
      </c>
      <c r="B7" t="s">
        <v>9</v>
      </c>
      <c r="C7" t="s">
        <v>23</v>
      </c>
      <c r="D7">
        <v>14659</v>
      </c>
      <c r="E7" s="2">
        <v>45.430000305175703</v>
      </c>
      <c r="F7">
        <v>5.0000000000000001E-4</v>
      </c>
      <c r="G7" s="2">
        <v>45.4754</v>
      </c>
      <c r="H7" s="2">
        <f>-Operaciones_table[[#This Row],[Precio Ejecutado]]*Operaciones_table[[#This Row],[Cantidad]]</f>
        <v>-666623.88860000006</v>
      </c>
      <c r="I7" s="2"/>
      <c r="J7" s="7">
        <v>46108</v>
      </c>
      <c r="K7" s="2">
        <v>-1349.7501089909492</v>
      </c>
    </row>
    <row r="8" spans="1:11" x14ac:dyDescent="0.25">
      <c r="A8" s="4">
        <v>46093</v>
      </c>
      <c r="B8" t="s">
        <v>10</v>
      </c>
      <c r="C8" t="s">
        <v>23</v>
      </c>
      <c r="D8">
        <v>3987</v>
      </c>
      <c r="E8" s="2">
        <v>167.02000427246</v>
      </c>
      <c r="F8">
        <v>5.0000000000000001E-4</v>
      </c>
      <c r="G8" s="2">
        <v>167.18700000000001</v>
      </c>
      <c r="H8" s="2">
        <f>-Operaciones_table[[#This Row],[Precio Ejecutado]]*Operaciones_table[[#This Row],[Cantidad]]</f>
        <v>-666574.56900000002</v>
      </c>
      <c r="I8" s="2"/>
      <c r="J8" s="7">
        <v>46115</v>
      </c>
      <c r="K8" s="2">
        <v>1664.5247063139104</v>
      </c>
    </row>
    <row r="9" spans="1:11" x14ac:dyDescent="0.25">
      <c r="A9" s="4">
        <v>46093</v>
      </c>
      <c r="B9" t="s">
        <v>11</v>
      </c>
      <c r="C9" t="s">
        <v>23</v>
      </c>
      <c r="D9">
        <v>3159</v>
      </c>
      <c r="E9" s="2">
        <v>210.80000305175699</v>
      </c>
      <c r="F9">
        <v>5.0000000000000001E-4</v>
      </c>
      <c r="G9" s="2">
        <v>211.01079999999999</v>
      </c>
      <c r="H9" s="2">
        <f>-Operaciones_table[[#This Row],[Precio Ejecutado]]*Operaciones_table[[#This Row],[Cantidad]]</f>
        <v>-666583.11719999998</v>
      </c>
      <c r="I9" s="2"/>
      <c r="J9" s="7">
        <v>46122</v>
      </c>
      <c r="K9" s="2">
        <v>-883.41248167221784</v>
      </c>
    </row>
    <row r="10" spans="1:11" x14ac:dyDescent="0.25">
      <c r="A10" s="4">
        <v>46093</v>
      </c>
      <c r="B10" t="s">
        <v>12</v>
      </c>
      <c r="C10" t="s">
        <v>23</v>
      </c>
      <c r="D10">
        <v>2276</v>
      </c>
      <c r="E10" s="2">
        <v>292.600006103515</v>
      </c>
      <c r="F10">
        <v>5.0000000000000001E-4</v>
      </c>
      <c r="G10" s="2">
        <v>292.89260000000002</v>
      </c>
      <c r="H10" s="2">
        <f>-Operaciones_table[[#This Row],[Precio Ejecutado]]*Operaciones_table[[#This Row],[Cantidad]]</f>
        <v>-666623.55760000006</v>
      </c>
      <c r="I10" s="2"/>
      <c r="J10" s="7">
        <v>46129</v>
      </c>
      <c r="K10" s="2">
        <v>-73.302777768170927</v>
      </c>
    </row>
    <row r="11" spans="1:11" x14ac:dyDescent="0.25">
      <c r="A11" s="4">
        <v>46093</v>
      </c>
      <c r="B11" t="s">
        <v>13</v>
      </c>
      <c r="C11" t="s">
        <v>23</v>
      </c>
      <c r="D11">
        <v>9919</v>
      </c>
      <c r="E11" s="2">
        <v>67.139999389648395</v>
      </c>
      <c r="F11">
        <v>5.0000000000000001E-4</v>
      </c>
      <c r="G11" s="2">
        <v>67.207099999999997</v>
      </c>
      <c r="H11" s="2">
        <f>-Operaciones_table[[#This Row],[Precio Ejecutado]]*Operaciones_table[[#This Row],[Cantidad]]</f>
        <v>-666627.22489999991</v>
      </c>
      <c r="I11" s="2"/>
      <c r="J11" s="7">
        <v>46136</v>
      </c>
      <c r="K11" s="2">
        <v>736.99024882540107</v>
      </c>
    </row>
    <row r="12" spans="1:11" x14ac:dyDescent="0.25">
      <c r="A12" s="4">
        <v>46093</v>
      </c>
      <c r="B12" t="s">
        <v>14</v>
      </c>
      <c r="C12" t="s">
        <v>23</v>
      </c>
      <c r="D12">
        <v>17020</v>
      </c>
      <c r="E12" s="2">
        <v>39.130001068115199</v>
      </c>
      <c r="F12">
        <v>5.0000000000000001E-4</v>
      </c>
      <c r="G12" s="2">
        <v>39.1691</v>
      </c>
      <c r="H12" s="2">
        <f>-Operaciones_table[[#This Row],[Precio Ejecutado]]*Operaciones_table[[#This Row],[Cantidad]]</f>
        <v>-666658.08200000005</v>
      </c>
      <c r="I12" s="2"/>
      <c r="J12" s="7">
        <v>46143</v>
      </c>
      <c r="K12" s="2">
        <v>-462.61293519800529</v>
      </c>
    </row>
    <row r="13" spans="1:11" x14ac:dyDescent="0.25">
      <c r="A13" s="4">
        <v>46093</v>
      </c>
      <c r="B13" t="s">
        <v>15</v>
      </c>
      <c r="C13" t="s">
        <v>23</v>
      </c>
      <c r="D13">
        <v>726</v>
      </c>
      <c r="E13" s="2">
        <v>917.29998779296795</v>
      </c>
      <c r="F13">
        <v>5.0000000000000001E-4</v>
      </c>
      <c r="G13" s="2">
        <v>918.21730000000002</v>
      </c>
      <c r="H13" s="2">
        <f>-Operaciones_table[[#This Row],[Precio Ejecutado]]*Operaciones_table[[#This Row],[Cantidad]]</f>
        <v>-666625.7598</v>
      </c>
      <c r="I13" s="2"/>
      <c r="J13" s="7" t="s">
        <v>40</v>
      </c>
      <c r="K13" s="2">
        <v>-3032.7167311359517</v>
      </c>
    </row>
    <row r="14" spans="1:11" x14ac:dyDescent="0.25">
      <c r="A14" s="4">
        <v>46093</v>
      </c>
      <c r="B14" t="s">
        <v>16</v>
      </c>
      <c r="C14" t="s">
        <v>23</v>
      </c>
      <c r="D14">
        <v>25909</v>
      </c>
      <c r="E14" s="2">
        <v>25.704999923706001</v>
      </c>
      <c r="F14">
        <v>5.0000000000000001E-4</v>
      </c>
      <c r="G14" s="2">
        <v>25.730699999999999</v>
      </c>
      <c r="H14" s="2">
        <f>-Operaciones_table[[#This Row],[Precio Ejecutado]]*Operaciones_table[[#This Row],[Cantidad]]</f>
        <v>-666656.70629999996</v>
      </c>
      <c r="I14" s="2"/>
    </row>
    <row r="15" spans="1:11" x14ac:dyDescent="0.25">
      <c r="A15" s="4">
        <v>46093</v>
      </c>
      <c r="B15" t="s">
        <v>17</v>
      </c>
      <c r="C15" t="s">
        <v>23</v>
      </c>
      <c r="D15">
        <v>429</v>
      </c>
      <c r="E15" s="2">
        <v>1550.5</v>
      </c>
      <c r="F15">
        <v>5.0000000000000001E-4</v>
      </c>
      <c r="G15" s="2">
        <v>1552.0505000000001</v>
      </c>
      <c r="H15" s="2">
        <f>-Operaciones_table[[#This Row],[Precio Ejecutado]]*Operaciones_table[[#This Row],[Cantidad]]</f>
        <v>-665829.66450000007</v>
      </c>
      <c r="I15" s="2"/>
    </row>
    <row r="16" spans="1:11" ht="19.5" x14ac:dyDescent="0.35">
      <c r="A16" s="4">
        <v>46093</v>
      </c>
      <c r="B16" t="s">
        <v>18</v>
      </c>
      <c r="C16" t="s">
        <v>23</v>
      </c>
      <c r="D16">
        <v>1081</v>
      </c>
      <c r="E16" s="2">
        <v>616</v>
      </c>
      <c r="F16">
        <v>5.0000000000000001E-4</v>
      </c>
      <c r="G16" s="2">
        <v>616.61599999999999</v>
      </c>
      <c r="H16" s="2">
        <f>-Operaciones_table[[#This Row],[Precio Ejecutado]]*Operaciones_table[[#This Row],[Cantidad]]</f>
        <v>-666561.89599999995</v>
      </c>
      <c r="I16" s="2"/>
      <c r="J16" s="8" t="s">
        <v>47</v>
      </c>
    </row>
    <row r="17" spans="1:39" x14ac:dyDescent="0.25">
      <c r="A17" s="4">
        <v>46093</v>
      </c>
      <c r="B17" t="s">
        <v>19</v>
      </c>
      <c r="C17" t="s">
        <v>23</v>
      </c>
      <c r="D17">
        <v>3871</v>
      </c>
      <c r="E17" s="2">
        <v>172.03999328613199</v>
      </c>
      <c r="F17">
        <v>5.0000000000000001E-4</v>
      </c>
      <c r="G17" s="2">
        <v>172.21199999999999</v>
      </c>
      <c r="H17" s="2">
        <f>-Operaciones_table[[#This Row],[Precio Ejecutado]]*Operaciones_table[[#This Row],[Cantidad]]</f>
        <v>-666632.652</v>
      </c>
      <c r="I17" s="2"/>
      <c r="J17" s="6" t="s">
        <v>41</v>
      </c>
      <c r="K17" s="6" t="s">
        <v>42</v>
      </c>
    </row>
    <row r="18" spans="1:39" x14ac:dyDescent="0.25">
      <c r="A18" s="4">
        <v>46093</v>
      </c>
      <c r="B18" t="s">
        <v>20</v>
      </c>
      <c r="C18" t="s">
        <v>23</v>
      </c>
      <c r="D18" s="3">
        <v>366.96075312617717</v>
      </c>
      <c r="E18" s="2">
        <v>5.0297000000000001</v>
      </c>
      <c r="F18">
        <v>5.0000000000000001E-4</v>
      </c>
      <c r="G18" s="2">
        <v>5.0297000000000001</v>
      </c>
      <c r="H18" s="2">
        <f>-Operaciones_table[[#This Row],[Precio Ejecutado]]*Operaciones_table[[#This Row],[Cantidad]]</f>
        <v>-1845.7024999987334</v>
      </c>
      <c r="I18" s="2"/>
      <c r="J18" s="6" t="s">
        <v>39</v>
      </c>
      <c r="K18" t="s">
        <v>8</v>
      </c>
      <c r="L18" t="s">
        <v>15</v>
      </c>
      <c r="M18" t="s">
        <v>19</v>
      </c>
      <c r="N18" t="s">
        <v>18</v>
      </c>
      <c r="O18" t="s">
        <v>5</v>
      </c>
      <c r="P18" t="s">
        <v>14</v>
      </c>
      <c r="Q18" t="s">
        <v>7</v>
      </c>
      <c r="R18" t="s">
        <v>29</v>
      </c>
      <c r="S18" t="s">
        <v>16</v>
      </c>
      <c r="T18" t="s">
        <v>11</v>
      </c>
      <c r="U18" t="s">
        <v>25</v>
      </c>
      <c r="V18" t="s">
        <v>6</v>
      </c>
      <c r="W18" t="s">
        <v>32</v>
      </c>
      <c r="X18" t="s">
        <v>36</v>
      </c>
      <c r="Y18" t="s">
        <v>38</v>
      </c>
      <c r="Z18" t="s">
        <v>20</v>
      </c>
      <c r="AA18" t="s">
        <v>9</v>
      </c>
      <c r="AB18" t="s">
        <v>12</v>
      </c>
      <c r="AC18" t="s">
        <v>17</v>
      </c>
      <c r="AD18" t="s">
        <v>27</v>
      </c>
      <c r="AE18" t="s">
        <v>35</v>
      </c>
      <c r="AF18" t="s">
        <v>37</v>
      </c>
      <c r="AG18" t="s">
        <v>10</v>
      </c>
      <c r="AH18" t="s">
        <v>28</v>
      </c>
      <c r="AI18" t="s">
        <v>33</v>
      </c>
      <c r="AJ18" t="s">
        <v>34</v>
      </c>
      <c r="AK18" t="s">
        <v>13</v>
      </c>
      <c r="AL18" t="s">
        <v>45</v>
      </c>
      <c r="AM18" t="s">
        <v>40</v>
      </c>
    </row>
    <row r="19" spans="1:39" x14ac:dyDescent="0.25">
      <c r="A19" s="4">
        <v>46101</v>
      </c>
      <c r="B19" t="s">
        <v>11</v>
      </c>
      <c r="C19" t="s">
        <v>23</v>
      </c>
      <c r="D19">
        <v>74</v>
      </c>
      <c r="E19" s="2">
        <v>194.75</v>
      </c>
      <c r="F19">
        <v>5.0000000000000001E-4</v>
      </c>
      <c r="G19" s="2">
        <v>194.847375</v>
      </c>
      <c r="H19" s="2">
        <f>-Operaciones_table[[#This Row],[Precio Ejecutado]]*Operaciones_table[[#This Row],[Cantidad]]</f>
        <v>-14418.705749999999</v>
      </c>
      <c r="J19" s="7">
        <v>46092</v>
      </c>
      <c r="K19" s="10"/>
      <c r="L19" s="10"/>
      <c r="M19" s="10"/>
      <c r="N19" s="10"/>
      <c r="O19" s="10"/>
      <c r="P19" s="10"/>
      <c r="Q19" s="10"/>
      <c r="R19" s="10">
        <v>-10000000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>
        <v>-10000000</v>
      </c>
    </row>
    <row r="20" spans="1:39" x14ac:dyDescent="0.25">
      <c r="A20" s="4">
        <v>46101</v>
      </c>
      <c r="B20" t="s">
        <v>15</v>
      </c>
      <c r="C20" t="s">
        <v>23</v>
      </c>
      <c r="D20">
        <v>3</v>
      </c>
      <c r="E20" s="2">
        <v>863.5</v>
      </c>
      <c r="F20">
        <v>5.0000000000000001E-4</v>
      </c>
      <c r="G20" s="2">
        <v>863.93174999999997</v>
      </c>
      <c r="H20" s="2">
        <f>-Operaciones_table[[#This Row],[Precio Ejecutado]]*Operaciones_table[[#This Row],[Cantidad]]</f>
        <v>-2591.7952500000001</v>
      </c>
      <c r="J20" s="7">
        <v>46093</v>
      </c>
      <c r="K20" s="10">
        <v>4716</v>
      </c>
      <c r="L20" s="10">
        <v>726</v>
      </c>
      <c r="M20" s="10">
        <v>3871</v>
      </c>
      <c r="N20" s="10">
        <v>1081</v>
      </c>
      <c r="O20" s="10">
        <v>564</v>
      </c>
      <c r="P20" s="10">
        <v>17020</v>
      </c>
      <c r="Q20" s="10">
        <v>36623</v>
      </c>
      <c r="R20" s="10"/>
      <c r="S20" s="10">
        <v>25909</v>
      </c>
      <c r="T20" s="10">
        <v>3159</v>
      </c>
      <c r="U20" s="10"/>
      <c r="V20" s="10">
        <v>4362</v>
      </c>
      <c r="W20" s="10"/>
      <c r="X20" s="10"/>
      <c r="Y20" s="10"/>
      <c r="Z20" s="10">
        <v>366.96075312617717</v>
      </c>
      <c r="AA20" s="10">
        <v>14659</v>
      </c>
      <c r="AB20" s="10">
        <v>2276</v>
      </c>
      <c r="AC20" s="10">
        <v>429</v>
      </c>
      <c r="AD20" s="10"/>
      <c r="AE20" s="10"/>
      <c r="AF20" s="10"/>
      <c r="AG20" s="10">
        <v>3987</v>
      </c>
      <c r="AH20" s="10"/>
      <c r="AI20" s="10"/>
      <c r="AJ20" s="10"/>
      <c r="AK20" s="10">
        <v>9919</v>
      </c>
      <c r="AL20" s="10"/>
      <c r="AM20" s="10">
        <v>129667.96075312617</v>
      </c>
    </row>
    <row r="21" spans="1:39" x14ac:dyDescent="0.25">
      <c r="A21" s="4">
        <v>46101</v>
      </c>
      <c r="B21" t="s">
        <v>9</v>
      </c>
      <c r="C21" t="s">
        <v>23</v>
      </c>
      <c r="D21">
        <v>1077</v>
      </c>
      <c r="E21" s="2">
        <v>40.020000457763601</v>
      </c>
      <c r="F21">
        <v>5.0000000000000001E-4</v>
      </c>
      <c r="G21" s="2">
        <v>40.040010457992501</v>
      </c>
      <c r="H21" s="2">
        <f>-Operaciones_table[[#This Row],[Precio Ejecutado]]*Operaciones_table[[#This Row],[Cantidad]]</f>
        <v>-43123.091263257927</v>
      </c>
      <c r="J21" s="7">
        <v>46101</v>
      </c>
      <c r="K21" s="10">
        <v>1</v>
      </c>
      <c r="L21" s="10">
        <v>3</v>
      </c>
      <c r="M21" s="10">
        <v>-3871</v>
      </c>
      <c r="N21" s="10">
        <v>-4</v>
      </c>
      <c r="O21" s="10">
        <v>-5</v>
      </c>
      <c r="P21" s="10">
        <v>-612</v>
      </c>
      <c r="Q21" s="10">
        <v>-36623</v>
      </c>
      <c r="R21" s="10"/>
      <c r="S21" s="10">
        <v>-472</v>
      </c>
      <c r="T21" s="10">
        <v>74</v>
      </c>
      <c r="U21" s="10">
        <v>26650</v>
      </c>
      <c r="V21" s="10">
        <v>112</v>
      </c>
      <c r="W21" s="10"/>
      <c r="X21" s="10"/>
      <c r="Y21" s="10"/>
      <c r="Z21" s="10"/>
      <c r="AA21" s="10">
        <v>1077</v>
      </c>
      <c r="AB21" s="10">
        <v>24</v>
      </c>
      <c r="AC21" s="10">
        <v>-429</v>
      </c>
      <c r="AD21" s="10">
        <v>380</v>
      </c>
      <c r="AE21" s="10"/>
      <c r="AF21" s="10"/>
      <c r="AG21" s="10">
        <v>107</v>
      </c>
      <c r="AH21" s="10">
        <v>9246</v>
      </c>
      <c r="AI21" s="10"/>
      <c r="AJ21" s="10"/>
      <c r="AK21" s="10">
        <v>-294</v>
      </c>
      <c r="AL21" s="10"/>
      <c r="AM21" s="10">
        <v>-4636</v>
      </c>
    </row>
    <row r="22" spans="1:39" x14ac:dyDescent="0.25">
      <c r="A22" s="4">
        <v>46101</v>
      </c>
      <c r="B22" t="s">
        <v>6</v>
      </c>
      <c r="C22" t="s">
        <v>23</v>
      </c>
      <c r="D22">
        <v>112</v>
      </c>
      <c r="E22" s="2">
        <v>140.75</v>
      </c>
      <c r="F22">
        <v>5.0000000000000001E-4</v>
      </c>
      <c r="G22" s="2">
        <v>140.82037499999899</v>
      </c>
      <c r="H22" s="2">
        <f>-Operaciones_table[[#This Row],[Precio Ejecutado]]*Operaciones_table[[#This Row],[Cantidad]]</f>
        <v>-15771.881999999887</v>
      </c>
      <c r="J22" s="7">
        <v>46108</v>
      </c>
      <c r="K22" s="10">
        <v>-2845</v>
      </c>
      <c r="L22" s="10">
        <v>-431</v>
      </c>
      <c r="M22" s="10"/>
      <c r="N22" s="10">
        <v>-1077</v>
      </c>
      <c r="O22" s="10">
        <v>279</v>
      </c>
      <c r="P22" s="10">
        <v>-1609</v>
      </c>
      <c r="Q22" s="10"/>
      <c r="R22" s="10"/>
      <c r="S22" s="10">
        <v>-13938</v>
      </c>
      <c r="T22" s="10">
        <v>-3233</v>
      </c>
      <c r="U22" s="10">
        <v>34714</v>
      </c>
      <c r="V22" s="10">
        <v>-321</v>
      </c>
      <c r="W22" s="10">
        <v>5846</v>
      </c>
      <c r="X22" s="10">
        <v>34709</v>
      </c>
      <c r="Y22" s="10"/>
      <c r="Z22" s="10"/>
      <c r="AA22" s="10">
        <v>-15736</v>
      </c>
      <c r="AB22" s="10">
        <v>-2300</v>
      </c>
      <c r="AC22" s="10">
        <v>221</v>
      </c>
      <c r="AD22" s="10">
        <v>-380</v>
      </c>
      <c r="AE22" s="10">
        <v>1724</v>
      </c>
      <c r="AF22" s="10">
        <v>56041</v>
      </c>
      <c r="AG22" s="10">
        <v>-4094</v>
      </c>
      <c r="AH22" s="10">
        <v>-1553</v>
      </c>
      <c r="AI22" s="10">
        <v>18700</v>
      </c>
      <c r="AJ22" s="10">
        <v>12173</v>
      </c>
      <c r="AK22" s="10">
        <v>-9625</v>
      </c>
      <c r="AL22" s="10"/>
      <c r="AM22" s="10">
        <v>107265</v>
      </c>
    </row>
    <row r="23" spans="1:39" x14ac:dyDescent="0.25">
      <c r="A23" s="4">
        <v>46101</v>
      </c>
      <c r="B23" t="s">
        <v>8</v>
      </c>
      <c r="C23" t="s">
        <v>23</v>
      </c>
      <c r="D23">
        <v>1</v>
      </c>
      <c r="E23" s="2">
        <v>133.5</v>
      </c>
      <c r="F23">
        <v>5.0000000000000001E-4</v>
      </c>
      <c r="G23" s="2">
        <v>133.56674999999899</v>
      </c>
      <c r="H23" s="2">
        <f>-Operaciones_table[[#This Row],[Precio Ejecutado]]*Operaciones_table[[#This Row],[Cantidad]]</f>
        <v>-133.56674999999899</v>
      </c>
      <c r="J23" s="7">
        <v>46115</v>
      </c>
      <c r="K23" s="10">
        <v>947</v>
      </c>
      <c r="L23" s="10"/>
      <c r="M23" s="10"/>
      <c r="N23" s="10"/>
      <c r="O23" s="10">
        <v>314</v>
      </c>
      <c r="P23" s="10">
        <v>7328</v>
      </c>
      <c r="Q23" s="10">
        <v>37957</v>
      </c>
      <c r="R23" s="10"/>
      <c r="S23" s="10">
        <v>1216</v>
      </c>
      <c r="T23" s="10"/>
      <c r="U23" s="10">
        <v>-12852</v>
      </c>
      <c r="V23" s="10">
        <v>-2461</v>
      </c>
      <c r="W23" s="10">
        <v>6143</v>
      </c>
      <c r="X23" s="10">
        <v>-5905</v>
      </c>
      <c r="Y23" s="10"/>
      <c r="Z23" s="10"/>
      <c r="AA23" s="10"/>
      <c r="AB23" s="10">
        <v>782</v>
      </c>
      <c r="AC23" s="10">
        <v>-221</v>
      </c>
      <c r="AD23" s="10"/>
      <c r="AE23" s="10">
        <v>246</v>
      </c>
      <c r="AF23" s="10">
        <v>-4227</v>
      </c>
      <c r="AG23" s="10"/>
      <c r="AH23" s="10">
        <v>-3861</v>
      </c>
      <c r="AI23" s="10">
        <v>2177</v>
      </c>
      <c r="AJ23" s="10">
        <v>-12173</v>
      </c>
      <c r="AK23" s="10"/>
      <c r="AL23" s="10"/>
      <c r="AM23" s="10">
        <v>15410</v>
      </c>
    </row>
    <row r="24" spans="1:39" x14ac:dyDescent="0.25">
      <c r="A24" s="4">
        <v>46101</v>
      </c>
      <c r="B24" t="s">
        <v>12</v>
      </c>
      <c r="C24" t="s">
        <v>23</v>
      </c>
      <c r="D24">
        <v>24</v>
      </c>
      <c r="E24" s="2">
        <v>273.79998779296801</v>
      </c>
      <c r="F24">
        <v>5.0000000000000001E-4</v>
      </c>
      <c r="G24" s="2">
        <v>273.93688778686499</v>
      </c>
      <c r="H24" s="2">
        <f>-Operaciones_table[[#This Row],[Precio Ejecutado]]*Operaciones_table[[#This Row],[Cantidad]]</f>
        <v>-6574.4853068847597</v>
      </c>
      <c r="J24" s="7">
        <v>46122</v>
      </c>
      <c r="K24" s="10">
        <v>1900</v>
      </c>
      <c r="L24" s="10">
        <v>-294</v>
      </c>
      <c r="M24" s="10"/>
      <c r="N24" s="10"/>
      <c r="O24" s="10">
        <v>-569</v>
      </c>
      <c r="P24" s="10">
        <v>5804</v>
      </c>
      <c r="Q24" s="10">
        <v>-36557</v>
      </c>
      <c r="R24" s="10"/>
      <c r="S24" s="10">
        <v>663</v>
      </c>
      <c r="T24" s="10"/>
      <c r="U24" s="10">
        <v>-3328</v>
      </c>
      <c r="V24" s="10">
        <v>6951</v>
      </c>
      <c r="W24" s="10">
        <v>-2481</v>
      </c>
      <c r="X24" s="10"/>
      <c r="Y24" s="10"/>
      <c r="Z24" s="10"/>
      <c r="AA24" s="10">
        <v>2584</v>
      </c>
      <c r="AB24" s="10">
        <v>-115</v>
      </c>
      <c r="AC24" s="10"/>
      <c r="AD24" s="10"/>
      <c r="AE24" s="10">
        <v>-400</v>
      </c>
      <c r="AF24" s="10">
        <v>19597</v>
      </c>
      <c r="AG24" s="10"/>
      <c r="AH24" s="10">
        <v>-3049</v>
      </c>
      <c r="AI24" s="10">
        <v>3599</v>
      </c>
      <c r="AJ24" s="10"/>
      <c r="AK24" s="10"/>
      <c r="AL24" s="10"/>
      <c r="AM24" s="10">
        <v>-5695</v>
      </c>
    </row>
    <row r="25" spans="1:39" x14ac:dyDescent="0.25">
      <c r="A25" s="4">
        <v>46101</v>
      </c>
      <c r="B25" t="s">
        <v>10</v>
      </c>
      <c r="C25" t="s">
        <v>23</v>
      </c>
      <c r="D25">
        <v>107</v>
      </c>
      <c r="E25" s="2">
        <v>153.82000732421801</v>
      </c>
      <c r="F25">
        <v>5.0000000000000001E-4</v>
      </c>
      <c r="G25" s="2">
        <v>153.89691732788</v>
      </c>
      <c r="H25" s="2">
        <f>-Operaciones_table[[#This Row],[Precio Ejecutado]]*Operaciones_table[[#This Row],[Cantidad]]</f>
        <v>-16466.970154083159</v>
      </c>
      <c r="J25" s="7">
        <v>46129</v>
      </c>
      <c r="K25" s="10">
        <v>-1401</v>
      </c>
      <c r="L25" s="10">
        <v>-81</v>
      </c>
      <c r="M25" s="10"/>
      <c r="N25" s="10"/>
      <c r="O25" s="10">
        <v>674</v>
      </c>
      <c r="P25" s="10">
        <v>19134</v>
      </c>
      <c r="Q25" s="10">
        <v>832</v>
      </c>
      <c r="R25" s="10"/>
      <c r="S25" s="10">
        <v>6891</v>
      </c>
      <c r="T25" s="10"/>
      <c r="U25" s="10">
        <v>-938</v>
      </c>
      <c r="V25" s="10">
        <v>-4228</v>
      </c>
      <c r="W25" s="10">
        <v>-6028</v>
      </c>
      <c r="X25" s="10"/>
      <c r="Y25" s="10">
        <v>4327</v>
      </c>
      <c r="Z25" s="10"/>
      <c r="AA25" s="10">
        <v>-803</v>
      </c>
      <c r="AB25" s="10">
        <v>-1010</v>
      </c>
      <c r="AC25" s="10"/>
      <c r="AD25" s="10"/>
      <c r="AE25" s="10">
        <v>-1147</v>
      </c>
      <c r="AF25" s="10">
        <v>-50484</v>
      </c>
      <c r="AG25" s="10">
        <v>1388</v>
      </c>
      <c r="AH25" s="10">
        <v>-1765</v>
      </c>
      <c r="AI25" s="10">
        <v>2329</v>
      </c>
      <c r="AJ25" s="10"/>
      <c r="AK25" s="10">
        <v>3946</v>
      </c>
      <c r="AL25" s="10"/>
      <c r="AM25" s="10">
        <v>-28364</v>
      </c>
    </row>
    <row r="26" spans="1:39" x14ac:dyDescent="0.25">
      <c r="A26" s="4">
        <v>46101</v>
      </c>
      <c r="B26" t="s">
        <v>27</v>
      </c>
      <c r="C26" t="s">
        <v>23</v>
      </c>
      <c r="D26">
        <v>380</v>
      </c>
      <c r="E26" s="2">
        <v>1656</v>
      </c>
      <c r="F26">
        <v>5.0000000000000001E-4</v>
      </c>
      <c r="G26" s="2">
        <v>1656.828</v>
      </c>
      <c r="H26" s="2">
        <f>-Operaciones_table[[#This Row],[Precio Ejecutado]]*Operaciones_table[[#This Row],[Cantidad]]</f>
        <v>-629594.64</v>
      </c>
      <c r="J26" s="7">
        <v>46136</v>
      </c>
      <c r="K26" s="10">
        <v>-577</v>
      </c>
      <c r="L26" s="10">
        <v>175</v>
      </c>
      <c r="M26" s="10"/>
      <c r="N26" s="10"/>
      <c r="O26" s="10">
        <v>-111</v>
      </c>
      <c r="P26" s="10">
        <v>-27490</v>
      </c>
      <c r="Q26" s="10">
        <v>9644</v>
      </c>
      <c r="R26" s="10"/>
      <c r="S26" s="10">
        <v>-7468</v>
      </c>
      <c r="T26" s="10"/>
      <c r="U26" s="10">
        <v>10225</v>
      </c>
      <c r="V26" s="10">
        <v>3623</v>
      </c>
      <c r="W26" s="10">
        <v>11124</v>
      </c>
      <c r="X26" s="10"/>
      <c r="Y26" s="10">
        <v>23473</v>
      </c>
      <c r="Z26" s="10"/>
      <c r="AA26" s="10">
        <v>2251</v>
      </c>
      <c r="AB26" s="10"/>
      <c r="AC26" s="10">
        <v>225</v>
      </c>
      <c r="AD26" s="10"/>
      <c r="AE26" s="10">
        <v>-1247</v>
      </c>
      <c r="AF26" s="10"/>
      <c r="AG26" s="10">
        <v>208</v>
      </c>
      <c r="AH26" s="10">
        <v>-1055</v>
      </c>
      <c r="AI26" s="10">
        <v>-22074</v>
      </c>
      <c r="AJ26" s="10"/>
      <c r="AK26" s="10">
        <v>1059</v>
      </c>
      <c r="AL26" s="10"/>
      <c r="AM26" s="10">
        <v>1985</v>
      </c>
    </row>
    <row r="27" spans="1:39" x14ac:dyDescent="0.25">
      <c r="A27" s="4">
        <v>46101</v>
      </c>
      <c r="B27" t="s">
        <v>25</v>
      </c>
      <c r="C27" t="s">
        <v>23</v>
      </c>
      <c r="D27">
        <v>26650</v>
      </c>
      <c r="E27" s="2">
        <v>23.620000839233398</v>
      </c>
      <c r="F27">
        <v>5.0000000000000001E-4</v>
      </c>
      <c r="G27" s="2">
        <v>23.631810839652999</v>
      </c>
      <c r="H27" s="2">
        <f>-Operaciones_table[[#This Row],[Precio Ejecutado]]*Operaciones_table[[#This Row],[Cantidad]]</f>
        <v>-629787.75887675246</v>
      </c>
      <c r="J27" s="7">
        <v>46143</v>
      </c>
      <c r="K27" s="10">
        <v>-2741</v>
      </c>
      <c r="L27" s="10">
        <v>147</v>
      </c>
      <c r="M27" s="10"/>
      <c r="N27" s="10"/>
      <c r="O27" s="10">
        <v>101</v>
      </c>
      <c r="P27" s="10">
        <v>15813</v>
      </c>
      <c r="Q27" s="10">
        <v>26551</v>
      </c>
      <c r="R27" s="10"/>
      <c r="S27" s="10">
        <v>11411</v>
      </c>
      <c r="T27" s="10"/>
      <c r="U27" s="10">
        <v>9077</v>
      </c>
      <c r="V27" s="10">
        <v>380</v>
      </c>
      <c r="W27" s="10">
        <v>-3779</v>
      </c>
      <c r="X27" s="10">
        <v>-28804</v>
      </c>
      <c r="Y27" s="10">
        <v>-27800</v>
      </c>
      <c r="Z27" s="10"/>
      <c r="AA27" s="10">
        <v>1204</v>
      </c>
      <c r="AB27" s="10">
        <v>343</v>
      </c>
      <c r="AC27" s="10">
        <v>-7</v>
      </c>
      <c r="AD27" s="10">
        <v>130</v>
      </c>
      <c r="AE27" s="10">
        <v>824</v>
      </c>
      <c r="AF27" s="10">
        <v>14533</v>
      </c>
      <c r="AG27" s="10">
        <v>-96</v>
      </c>
      <c r="AH27" s="10">
        <v>2037</v>
      </c>
      <c r="AI27" s="10">
        <v>-4731</v>
      </c>
      <c r="AJ27" s="10"/>
      <c r="AK27" s="10">
        <v>-1215</v>
      </c>
      <c r="AL27" s="10">
        <v>4104</v>
      </c>
      <c r="AM27" s="10">
        <v>17482</v>
      </c>
    </row>
    <row r="28" spans="1:39" x14ac:dyDescent="0.25">
      <c r="A28" s="4">
        <v>46101</v>
      </c>
      <c r="B28" t="s">
        <v>28</v>
      </c>
      <c r="C28" t="s">
        <v>23</v>
      </c>
      <c r="D28">
        <v>9246</v>
      </c>
      <c r="E28" s="2">
        <v>68.080001831054602</v>
      </c>
      <c r="F28">
        <v>5.0000000000000001E-4</v>
      </c>
      <c r="G28" s="2">
        <v>68.114041831970198</v>
      </c>
      <c r="H28" s="2">
        <f>-Operaciones_table[[#This Row],[Precio Ejecutado]]*Operaciones_table[[#This Row],[Cantidad]]</f>
        <v>-629782.43077839643</v>
      </c>
      <c r="J28" s="7" t="s">
        <v>40</v>
      </c>
      <c r="K28" s="10">
        <v>0</v>
      </c>
      <c r="L28" s="10">
        <v>245</v>
      </c>
      <c r="M28" s="10">
        <v>0</v>
      </c>
      <c r="N28" s="10">
        <v>0</v>
      </c>
      <c r="O28" s="10">
        <v>1247</v>
      </c>
      <c r="P28" s="10">
        <v>35388</v>
      </c>
      <c r="Q28" s="10">
        <v>38427</v>
      </c>
      <c r="R28" s="10">
        <v>-10000000</v>
      </c>
      <c r="S28" s="10">
        <v>24212</v>
      </c>
      <c r="T28" s="10">
        <v>0</v>
      </c>
      <c r="U28" s="10">
        <v>63548</v>
      </c>
      <c r="V28" s="10">
        <v>8418</v>
      </c>
      <c r="W28" s="10">
        <v>10825</v>
      </c>
      <c r="X28" s="10">
        <v>0</v>
      </c>
      <c r="Y28" s="10">
        <v>0</v>
      </c>
      <c r="Z28" s="10">
        <v>366.96075312617717</v>
      </c>
      <c r="AA28" s="10">
        <v>5236</v>
      </c>
      <c r="AB28" s="10">
        <v>0</v>
      </c>
      <c r="AC28" s="10">
        <v>218</v>
      </c>
      <c r="AD28" s="10">
        <v>130</v>
      </c>
      <c r="AE28" s="10">
        <v>0</v>
      </c>
      <c r="AF28" s="10">
        <v>35460</v>
      </c>
      <c r="AG28" s="10">
        <v>1500</v>
      </c>
      <c r="AH28" s="10">
        <v>0</v>
      </c>
      <c r="AI28" s="10">
        <v>0</v>
      </c>
      <c r="AJ28" s="10">
        <v>0</v>
      </c>
      <c r="AK28" s="10">
        <v>3790</v>
      </c>
      <c r="AL28" s="10">
        <v>4104</v>
      </c>
      <c r="AM28" s="10">
        <v>-9766885.0392468739</v>
      </c>
    </row>
    <row r="29" spans="1:39" x14ac:dyDescent="0.25">
      <c r="A29" s="4">
        <v>46101</v>
      </c>
      <c r="B29" t="s">
        <v>13</v>
      </c>
      <c r="C29" t="s">
        <v>26</v>
      </c>
      <c r="D29">
        <v>-294</v>
      </c>
      <c r="E29" s="2">
        <v>65.440002441406193</v>
      </c>
      <c r="F29">
        <v>5.0000000000000001E-4</v>
      </c>
      <c r="G29" s="2">
        <v>65.407282440185497</v>
      </c>
      <c r="H29" s="2">
        <f>-Operaciones_table[[#This Row],[Precio Ejecutado]]*Operaciones_table[[#This Row],[Cantidad]]</f>
        <v>19229.741037414537</v>
      </c>
    </row>
    <row r="30" spans="1:39" x14ac:dyDescent="0.25">
      <c r="A30" s="4">
        <v>46101</v>
      </c>
      <c r="B30" t="s">
        <v>18</v>
      </c>
      <c r="C30" t="s">
        <v>26</v>
      </c>
      <c r="D30">
        <v>-4</v>
      </c>
      <c r="E30" s="2">
        <v>584.79998779296795</v>
      </c>
      <c r="F30">
        <v>5.0000000000000001E-4</v>
      </c>
      <c r="G30" s="2">
        <v>584.50758779907198</v>
      </c>
      <c r="H30" s="2">
        <f>-Operaciones_table[[#This Row],[Precio Ejecutado]]*Operaciones_table[[#This Row],[Cantidad]]</f>
        <v>2338.0303511962879</v>
      </c>
    </row>
    <row r="31" spans="1:39" x14ac:dyDescent="0.25">
      <c r="A31" s="4">
        <v>46101</v>
      </c>
      <c r="B31" t="s">
        <v>14</v>
      </c>
      <c r="C31" t="s">
        <v>26</v>
      </c>
      <c r="D31">
        <v>-612</v>
      </c>
      <c r="E31" s="2">
        <v>38.384998321533203</v>
      </c>
      <c r="F31">
        <v>5.0000000000000001E-4</v>
      </c>
      <c r="G31" s="2">
        <v>38.365805822372401</v>
      </c>
      <c r="H31" s="2">
        <f>-Operaciones_table[[#This Row],[Precio Ejecutado]]*Operaciones_table[[#This Row],[Cantidad]]</f>
        <v>23479.873163291908</v>
      </c>
    </row>
    <row r="32" spans="1:39" x14ac:dyDescent="0.25">
      <c r="A32" s="4">
        <v>46101</v>
      </c>
      <c r="B32" t="s">
        <v>16</v>
      </c>
      <c r="C32" t="s">
        <v>26</v>
      </c>
      <c r="D32">
        <v>-472</v>
      </c>
      <c r="E32" s="2">
        <v>24.7600002288818</v>
      </c>
      <c r="F32">
        <v>5.0000000000000001E-4</v>
      </c>
      <c r="G32" s="2">
        <v>24.7476202287673</v>
      </c>
      <c r="H32" s="2">
        <f>-Operaciones_table[[#This Row],[Precio Ejecutado]]*Operaciones_table[[#This Row],[Cantidad]]</f>
        <v>11680.876747978165</v>
      </c>
    </row>
    <row r="33" spans="1:8" x14ac:dyDescent="0.25">
      <c r="A33" s="4">
        <v>46101</v>
      </c>
      <c r="B33" t="s">
        <v>7</v>
      </c>
      <c r="C33" t="s">
        <v>26</v>
      </c>
      <c r="D33">
        <v>-36623</v>
      </c>
      <c r="E33" s="2">
        <v>17.924999237060501</v>
      </c>
      <c r="F33">
        <v>5.0000000000000001E-4</v>
      </c>
      <c r="G33" s="2">
        <v>17.916036737441999</v>
      </c>
      <c r="H33" s="2">
        <f>-Operaciones_table[[#This Row],[Precio Ejecutado]]*Operaciones_table[[#This Row],[Cantidad]]</f>
        <v>656139.01343533839</v>
      </c>
    </row>
    <row r="34" spans="1:8" x14ac:dyDescent="0.25">
      <c r="A34" s="4">
        <v>46101</v>
      </c>
      <c r="B34" t="s">
        <v>17</v>
      </c>
      <c r="C34" t="s">
        <v>26</v>
      </c>
      <c r="D34">
        <v>-429</v>
      </c>
      <c r="E34" s="2">
        <v>1503</v>
      </c>
      <c r="F34">
        <v>5.0000000000000001E-4</v>
      </c>
      <c r="G34" s="2">
        <v>1502.2484999999999</v>
      </c>
      <c r="H34" s="2">
        <f>-Operaciones_table[[#This Row],[Precio Ejecutado]]*Operaciones_table[[#This Row],[Cantidad]]</f>
        <v>644464.60649999999</v>
      </c>
    </row>
    <row r="35" spans="1:8" x14ac:dyDescent="0.25">
      <c r="A35" s="4">
        <v>46101</v>
      </c>
      <c r="B35" t="s">
        <v>5</v>
      </c>
      <c r="C35" t="s">
        <v>26</v>
      </c>
      <c r="D35">
        <v>-5</v>
      </c>
      <c r="E35" s="2">
        <v>1128.19995117187</v>
      </c>
      <c r="F35">
        <v>5.0000000000000001E-4</v>
      </c>
      <c r="G35" s="2">
        <v>1127.6358511962801</v>
      </c>
      <c r="H35" s="2">
        <f>-Operaciones_table[[#This Row],[Precio Ejecutado]]*Operaciones_table[[#This Row],[Cantidad]]</f>
        <v>5638.1792559814003</v>
      </c>
    </row>
    <row r="36" spans="1:8" x14ac:dyDescent="0.25">
      <c r="A36" s="4">
        <v>46101</v>
      </c>
      <c r="B36" t="s">
        <v>19</v>
      </c>
      <c r="C36" t="s">
        <v>26</v>
      </c>
      <c r="D36">
        <v>-3871</v>
      </c>
      <c r="E36" s="2">
        <v>160.919998168945</v>
      </c>
      <c r="F36">
        <v>5.0000000000000001E-4</v>
      </c>
      <c r="G36" s="2">
        <v>160.83953816985999</v>
      </c>
      <c r="H36" s="2">
        <f>-Operaciones_table[[#This Row],[Precio Ejecutado]]*Operaciones_table[[#This Row],[Cantidad]]</f>
        <v>622609.85225552798</v>
      </c>
    </row>
    <row r="37" spans="1:8" x14ac:dyDescent="0.25">
      <c r="A37" s="4">
        <v>46108</v>
      </c>
      <c r="B37" t="s">
        <v>32</v>
      </c>
      <c r="C37" t="s">
        <v>23</v>
      </c>
      <c r="D37">
        <v>5846</v>
      </c>
      <c r="E37" s="2">
        <v>37.430000305175703</v>
      </c>
      <c r="F37">
        <v>5.0000000000000001E-4</v>
      </c>
      <c r="G37" s="2">
        <v>37.4487153053283</v>
      </c>
      <c r="H37" s="2">
        <f>-Operaciones_table[[#This Row],[Precio Ejecutado]]*Operaciones_table[[#This Row],[Cantidad]]</f>
        <v>-218925.18967494924</v>
      </c>
    </row>
    <row r="38" spans="1:8" x14ac:dyDescent="0.25">
      <c r="A38" s="4">
        <v>46108</v>
      </c>
      <c r="B38" t="s">
        <v>25</v>
      </c>
      <c r="C38" t="s">
        <v>23</v>
      </c>
      <c r="D38">
        <v>34714</v>
      </c>
      <c r="E38" s="2">
        <v>23.924999237060501</v>
      </c>
      <c r="F38">
        <v>5.0000000000000001E-4</v>
      </c>
      <c r="G38" s="2">
        <v>23.936961736678999</v>
      </c>
      <c r="H38" s="2">
        <f>-Operaciones_table[[#This Row],[Precio Ejecutado]]*Operaciones_table[[#This Row],[Cantidad]]</f>
        <v>-830947.68972707482</v>
      </c>
    </row>
    <row r="39" spans="1:8" x14ac:dyDescent="0.25">
      <c r="A39" s="4">
        <v>46108</v>
      </c>
      <c r="B39" t="s">
        <v>5</v>
      </c>
      <c r="C39" t="s">
        <v>23</v>
      </c>
      <c r="D39">
        <v>279</v>
      </c>
      <c r="E39" s="2">
        <v>1146.40002441406</v>
      </c>
      <c r="F39">
        <v>5.0000000000000001E-4</v>
      </c>
      <c r="G39" s="2">
        <v>1146.97322442626</v>
      </c>
      <c r="H39" s="2">
        <f>-Operaciones_table[[#This Row],[Precio Ejecutado]]*Operaciones_table[[#This Row],[Cantidad]]</f>
        <v>-320005.52961492655</v>
      </c>
    </row>
    <row r="40" spans="1:8" x14ac:dyDescent="0.25">
      <c r="A40" s="4">
        <v>46108</v>
      </c>
      <c r="B40" t="s">
        <v>17</v>
      </c>
      <c r="C40" t="s">
        <v>23</v>
      </c>
      <c r="D40">
        <v>221</v>
      </c>
      <c r="E40" s="2">
        <v>1379.5</v>
      </c>
      <c r="F40">
        <v>5.0000000000000001E-4</v>
      </c>
      <c r="G40" s="2">
        <v>1380.18975</v>
      </c>
      <c r="H40" s="2">
        <f>-Operaciones_table[[#This Row],[Precio Ejecutado]]*Operaciones_table[[#This Row],[Cantidad]]</f>
        <v>-305021.93475000001</v>
      </c>
    </row>
    <row r="41" spans="1:8" x14ac:dyDescent="0.25">
      <c r="A41" s="4">
        <v>46108</v>
      </c>
      <c r="B41" t="s">
        <v>33</v>
      </c>
      <c r="C41" t="s">
        <v>23</v>
      </c>
      <c r="D41">
        <v>18700</v>
      </c>
      <c r="E41" s="2">
        <v>78.489997863769503</v>
      </c>
      <c r="F41">
        <v>5.0000000000000001E-4</v>
      </c>
      <c r="G41" s="2">
        <v>78.529242862701395</v>
      </c>
      <c r="H41" s="2">
        <f>-Operaciones_table[[#This Row],[Precio Ejecutado]]*Operaciones_table[[#This Row],[Cantidad]]</f>
        <v>-1468496.8415325161</v>
      </c>
    </row>
    <row r="42" spans="1:8" x14ac:dyDescent="0.25">
      <c r="A42" s="4">
        <v>46108</v>
      </c>
      <c r="B42" t="s">
        <v>34</v>
      </c>
      <c r="C42" t="s">
        <v>23</v>
      </c>
      <c r="D42">
        <v>12173</v>
      </c>
      <c r="E42" s="2">
        <v>60.220001220703097</v>
      </c>
      <c r="F42">
        <v>5.0000000000000001E-4</v>
      </c>
      <c r="G42" s="2">
        <v>60.250111221313396</v>
      </c>
      <c r="H42" s="2">
        <f>-Operaciones_table[[#This Row],[Precio Ejecutado]]*Operaciones_table[[#This Row],[Cantidad]]</f>
        <v>-733424.60389704793</v>
      </c>
    </row>
    <row r="43" spans="1:8" x14ac:dyDescent="0.25">
      <c r="A43" s="4">
        <v>46108</v>
      </c>
      <c r="B43" t="s">
        <v>35</v>
      </c>
      <c r="C43" t="s">
        <v>23</v>
      </c>
      <c r="D43">
        <v>1724</v>
      </c>
      <c r="E43" s="2">
        <v>278.39999389648398</v>
      </c>
      <c r="F43">
        <v>5.0000000000000001E-4</v>
      </c>
      <c r="G43" s="2">
        <v>278.53919389343201</v>
      </c>
      <c r="H43" s="2">
        <f>-Operaciones_table[[#This Row],[Precio Ejecutado]]*Operaciones_table[[#This Row],[Cantidad]]</f>
        <v>-480201.57027227682</v>
      </c>
    </row>
    <row r="44" spans="1:8" x14ac:dyDescent="0.25">
      <c r="A44" s="4">
        <v>46108</v>
      </c>
      <c r="B44" t="s">
        <v>36</v>
      </c>
      <c r="C44" t="s">
        <v>23</v>
      </c>
      <c r="D44">
        <v>34709</v>
      </c>
      <c r="E44" s="2">
        <v>21.7199993133544</v>
      </c>
      <c r="F44">
        <v>5.0000000000000001E-4</v>
      </c>
      <c r="G44" s="2">
        <v>21.730859313011099</v>
      </c>
      <c r="H44" s="2">
        <f>-Operaciones_table[[#This Row],[Precio Ejecutado]]*Operaciones_table[[#This Row],[Cantidad]]</f>
        <v>-754256.39589530218</v>
      </c>
    </row>
    <row r="45" spans="1:8" x14ac:dyDescent="0.25">
      <c r="A45" s="4">
        <v>46108</v>
      </c>
      <c r="B45" t="s">
        <v>37</v>
      </c>
      <c r="C45" t="s">
        <v>23</v>
      </c>
      <c r="D45">
        <v>56041</v>
      </c>
      <c r="E45" s="2">
        <v>9.4020004272460902</v>
      </c>
      <c r="F45">
        <v>5.0000000000000001E-4</v>
      </c>
      <c r="G45" s="2">
        <v>9.4067014274597103</v>
      </c>
      <c r="H45" s="2">
        <f>-Operaciones_table[[#This Row],[Precio Ejecutado]]*Operaciones_table[[#This Row],[Cantidad]]</f>
        <v>-527160.95469626959</v>
      </c>
    </row>
    <row r="46" spans="1:8" x14ac:dyDescent="0.25">
      <c r="A46" s="4">
        <v>46108</v>
      </c>
      <c r="B46" t="s">
        <v>14</v>
      </c>
      <c r="C46" t="s">
        <v>26</v>
      </c>
      <c r="D46">
        <v>-1609</v>
      </c>
      <c r="E46" s="2">
        <v>38.259998321533203</v>
      </c>
      <c r="F46">
        <v>5.0000000000000001E-4</v>
      </c>
      <c r="G46" s="2">
        <v>38.2408683223724</v>
      </c>
      <c r="H46" s="2">
        <f>-Operaciones_table[[#This Row],[Precio Ejecutado]]*Operaciones_table[[#This Row],[Cantidad]]</f>
        <v>61529.557130697191</v>
      </c>
    </row>
    <row r="47" spans="1:8" x14ac:dyDescent="0.25">
      <c r="A47" s="4">
        <v>46108</v>
      </c>
      <c r="B47" t="s">
        <v>28</v>
      </c>
      <c r="C47" t="s">
        <v>26</v>
      </c>
      <c r="D47">
        <v>-1553</v>
      </c>
      <c r="E47" s="2">
        <v>69.120002746582003</v>
      </c>
      <c r="F47">
        <v>5.0000000000000001E-4</v>
      </c>
      <c r="G47" s="2">
        <v>69.085442745208695</v>
      </c>
      <c r="H47" s="2">
        <f>-Operaciones_table[[#This Row],[Precio Ejecutado]]*Operaciones_table[[#This Row],[Cantidad]]</f>
        <v>107289.69258330911</v>
      </c>
    </row>
    <row r="48" spans="1:8" x14ac:dyDescent="0.25">
      <c r="A48" s="4">
        <v>46108</v>
      </c>
      <c r="B48" t="s">
        <v>16</v>
      </c>
      <c r="C48" t="s">
        <v>26</v>
      </c>
      <c r="D48">
        <v>-13938</v>
      </c>
      <c r="E48" s="2">
        <v>24.915000915527301</v>
      </c>
      <c r="F48">
        <v>5.0000000000000001E-4</v>
      </c>
      <c r="G48" s="2">
        <v>24.902543415069498</v>
      </c>
      <c r="H48" s="2">
        <f>-Operaciones_table[[#This Row],[Precio Ejecutado]]*Operaciones_table[[#This Row],[Cantidad]]</f>
        <v>347091.65011923865</v>
      </c>
    </row>
    <row r="49" spans="1:8" x14ac:dyDescent="0.25">
      <c r="A49" s="4">
        <v>46108</v>
      </c>
      <c r="B49" t="s">
        <v>8</v>
      </c>
      <c r="C49" t="s">
        <v>26</v>
      </c>
      <c r="D49">
        <v>-2845</v>
      </c>
      <c r="E49" s="2">
        <v>132.05000305175699</v>
      </c>
      <c r="F49">
        <v>5.0000000000000001E-4</v>
      </c>
      <c r="G49" s="2">
        <v>131.983978050231</v>
      </c>
      <c r="H49" s="2">
        <f>-Operaciones_table[[#This Row],[Precio Ejecutado]]*Operaciones_table[[#This Row],[Cantidad]]</f>
        <v>375494.41755290719</v>
      </c>
    </row>
    <row r="50" spans="1:8" x14ac:dyDescent="0.25">
      <c r="A50" s="4">
        <v>46108</v>
      </c>
      <c r="B50" t="s">
        <v>9</v>
      </c>
      <c r="C50" t="s">
        <v>26</v>
      </c>
      <c r="D50">
        <v>-15736</v>
      </c>
      <c r="E50" s="2">
        <v>38.720001220703097</v>
      </c>
      <c r="F50">
        <v>5.0000000000000001E-4</v>
      </c>
      <c r="G50" s="2">
        <v>38.700641220092699</v>
      </c>
      <c r="H50" s="2">
        <f>-Operaciones_table[[#This Row],[Precio Ejecutado]]*Operaciones_table[[#This Row],[Cantidad]]</f>
        <v>608993.29023937869</v>
      </c>
    </row>
    <row r="51" spans="1:8" x14ac:dyDescent="0.25">
      <c r="A51" s="4">
        <v>46108</v>
      </c>
      <c r="B51" t="s">
        <v>11</v>
      </c>
      <c r="C51" t="s">
        <v>26</v>
      </c>
      <c r="D51">
        <v>-3233</v>
      </c>
      <c r="E51" s="2">
        <v>194.80000305175699</v>
      </c>
      <c r="F51">
        <v>5.0000000000000001E-4</v>
      </c>
      <c r="G51" s="2">
        <v>194.702603050231</v>
      </c>
      <c r="H51" s="2">
        <f>-Operaciones_table[[#This Row],[Precio Ejecutado]]*Operaciones_table[[#This Row],[Cantidad]]</f>
        <v>629473.51566139678</v>
      </c>
    </row>
    <row r="52" spans="1:8" x14ac:dyDescent="0.25">
      <c r="A52" s="4">
        <v>46108</v>
      </c>
      <c r="B52" t="s">
        <v>18</v>
      </c>
      <c r="C52" t="s">
        <v>26</v>
      </c>
      <c r="D52">
        <v>-1077</v>
      </c>
      <c r="E52" s="2">
        <v>607.40002441406205</v>
      </c>
      <c r="F52">
        <v>5.0000000000000001E-4</v>
      </c>
      <c r="G52" s="2">
        <v>607.09632440185499</v>
      </c>
      <c r="H52" s="2">
        <f>-Operaciones_table[[#This Row],[Precio Ejecutado]]*Operaciones_table[[#This Row],[Cantidad]]</f>
        <v>653842.74138079782</v>
      </c>
    </row>
    <row r="53" spans="1:8" x14ac:dyDescent="0.25">
      <c r="A53" s="4">
        <v>46108</v>
      </c>
      <c r="B53" t="s">
        <v>27</v>
      </c>
      <c r="C53" t="s">
        <v>26</v>
      </c>
      <c r="D53">
        <v>-380</v>
      </c>
      <c r="E53" s="2">
        <v>1621.5</v>
      </c>
      <c r="F53">
        <v>5.0000000000000001E-4</v>
      </c>
      <c r="G53" s="2">
        <v>1620.6892499999999</v>
      </c>
      <c r="H53" s="2">
        <f>-Operaciones_table[[#This Row],[Precio Ejecutado]]*Operaciones_table[[#This Row],[Cantidad]]</f>
        <v>615861.91499999992</v>
      </c>
    </row>
    <row r="54" spans="1:8" x14ac:dyDescent="0.25">
      <c r="A54" s="4">
        <v>46108</v>
      </c>
      <c r="B54" t="s">
        <v>13</v>
      </c>
      <c r="C54" t="s">
        <v>26</v>
      </c>
      <c r="D54">
        <v>-9625</v>
      </c>
      <c r="E54" s="2">
        <v>62.319999694824197</v>
      </c>
      <c r="F54">
        <v>5.0000000000000001E-4</v>
      </c>
      <c r="G54" s="2">
        <v>62.288839694976801</v>
      </c>
      <c r="H54" s="2">
        <f>-Operaciones_table[[#This Row],[Precio Ejecutado]]*Operaciones_table[[#This Row],[Cantidad]]</f>
        <v>599530.08206415176</v>
      </c>
    </row>
    <row r="55" spans="1:8" x14ac:dyDescent="0.25">
      <c r="A55" s="4">
        <v>46108</v>
      </c>
      <c r="B55" t="s">
        <v>12</v>
      </c>
      <c r="C55" t="s">
        <v>26</v>
      </c>
      <c r="D55">
        <v>-2300</v>
      </c>
      <c r="E55" s="2">
        <v>278.29998779296801</v>
      </c>
      <c r="F55">
        <v>5.0000000000000001E-4</v>
      </c>
      <c r="G55" s="2">
        <v>278.160837799072</v>
      </c>
      <c r="H55" s="2">
        <f>-Operaciones_table[[#This Row],[Precio Ejecutado]]*Operaciones_table[[#This Row],[Cantidad]]</f>
        <v>639769.92693786556</v>
      </c>
    </row>
    <row r="56" spans="1:8" x14ac:dyDescent="0.25">
      <c r="A56" s="4">
        <v>46108</v>
      </c>
      <c r="B56" t="s">
        <v>10</v>
      </c>
      <c r="C56" t="s">
        <v>26</v>
      </c>
      <c r="D56">
        <v>-4094</v>
      </c>
      <c r="E56" s="2">
        <v>142.55999755859301</v>
      </c>
      <c r="F56">
        <v>5.0000000000000001E-4</v>
      </c>
      <c r="G56" s="2">
        <v>142.48871755981401</v>
      </c>
      <c r="H56" s="2">
        <f>-Operaciones_table[[#This Row],[Precio Ejecutado]]*Operaciones_table[[#This Row],[Cantidad]]</f>
        <v>583348.80968987849</v>
      </c>
    </row>
    <row r="57" spans="1:8" x14ac:dyDescent="0.25">
      <c r="A57" s="4">
        <v>46108</v>
      </c>
      <c r="B57" t="s">
        <v>15</v>
      </c>
      <c r="C57" t="s">
        <v>26</v>
      </c>
      <c r="D57">
        <v>-431</v>
      </c>
      <c r="E57" s="2">
        <v>855.5</v>
      </c>
      <c r="F57">
        <v>5.0000000000000001E-4</v>
      </c>
      <c r="G57" s="2">
        <v>855.07225000000005</v>
      </c>
      <c r="H57" s="2">
        <f>-Operaciones_table[[#This Row],[Precio Ejecutado]]*Operaciones_table[[#This Row],[Cantidad]]</f>
        <v>368536.13975000003</v>
      </c>
    </row>
    <row r="58" spans="1:8" x14ac:dyDescent="0.25">
      <c r="A58" s="4">
        <v>46108</v>
      </c>
      <c r="B58" t="s">
        <v>6</v>
      </c>
      <c r="C58" t="s">
        <v>26</v>
      </c>
      <c r="D58">
        <v>-321</v>
      </c>
      <c r="E58" s="2">
        <v>144.39999389648401</v>
      </c>
      <c r="F58">
        <v>5.0000000000000001E-4</v>
      </c>
      <c r="G58" s="2">
        <v>144.327793899536</v>
      </c>
      <c r="H58" s="2">
        <f>-Operaciones_table[[#This Row],[Precio Ejecutado]]*Operaciones_table[[#This Row],[Cantidad]]</f>
        <v>46329.221841751059</v>
      </c>
    </row>
    <row r="59" spans="1:8" x14ac:dyDescent="0.25">
      <c r="A59" s="4">
        <v>46115</v>
      </c>
      <c r="B59" t="s">
        <v>14</v>
      </c>
      <c r="C59" t="s">
        <v>23</v>
      </c>
      <c r="D59">
        <v>7328</v>
      </c>
      <c r="E59" s="2">
        <v>39.694999694824197</v>
      </c>
      <c r="F59">
        <v>5.0000000000000001E-4</v>
      </c>
      <c r="G59" s="2">
        <v>39.714847194671599</v>
      </c>
      <c r="H59" s="2">
        <f>-Operaciones_table[[#This Row],[Precio Ejecutado]]*Operaciones_table[[#This Row],[Cantidad]]</f>
        <v>-291030.4002425535</v>
      </c>
    </row>
    <row r="60" spans="1:8" x14ac:dyDescent="0.25">
      <c r="A60" s="4">
        <v>46115</v>
      </c>
      <c r="B60" t="s">
        <v>7</v>
      </c>
      <c r="C60" t="s">
        <v>23</v>
      </c>
      <c r="D60">
        <v>37957</v>
      </c>
      <c r="E60" s="2">
        <v>18.770000457763601</v>
      </c>
      <c r="F60">
        <v>5.0000000000000001E-4</v>
      </c>
      <c r="G60" s="2">
        <v>18.7793854579925</v>
      </c>
      <c r="H60" s="2">
        <f>-Operaciones_table[[#This Row],[Precio Ejecutado]]*Operaciones_table[[#This Row],[Cantidad]]</f>
        <v>-712809.13382902136</v>
      </c>
    </row>
    <row r="61" spans="1:8" x14ac:dyDescent="0.25">
      <c r="A61" s="4">
        <v>46115</v>
      </c>
      <c r="B61" t="s">
        <v>12</v>
      </c>
      <c r="C61" t="s">
        <v>23</v>
      </c>
      <c r="D61">
        <v>782</v>
      </c>
      <c r="E61" s="2">
        <v>295.5</v>
      </c>
      <c r="F61">
        <v>5.0000000000000001E-4</v>
      </c>
      <c r="G61" s="2">
        <v>295.64774999999997</v>
      </c>
      <c r="H61" s="2">
        <f>-Operaciones_table[[#This Row],[Precio Ejecutado]]*Operaciones_table[[#This Row],[Cantidad]]</f>
        <v>-231196.54049999997</v>
      </c>
    </row>
    <row r="62" spans="1:8" x14ac:dyDescent="0.25">
      <c r="A62" s="4">
        <v>46115</v>
      </c>
      <c r="B62" t="s">
        <v>35</v>
      </c>
      <c r="C62" t="s">
        <v>23</v>
      </c>
      <c r="D62">
        <v>246</v>
      </c>
      <c r="E62" s="2">
        <v>287.29998779296801</v>
      </c>
      <c r="F62">
        <v>5.0000000000000001E-4</v>
      </c>
      <c r="G62" s="2">
        <v>287.443637786865</v>
      </c>
      <c r="H62" s="2">
        <f>-Operaciones_table[[#This Row],[Precio Ejecutado]]*Operaciones_table[[#This Row],[Cantidad]]</f>
        <v>-70711.134895568786</v>
      </c>
    </row>
    <row r="63" spans="1:8" x14ac:dyDescent="0.25">
      <c r="A63" s="4">
        <v>46115</v>
      </c>
      <c r="B63" t="s">
        <v>5</v>
      </c>
      <c r="C63" t="s">
        <v>23</v>
      </c>
      <c r="D63">
        <v>314</v>
      </c>
      <c r="E63" s="2">
        <v>1161</v>
      </c>
      <c r="F63">
        <v>5.0000000000000001E-4</v>
      </c>
      <c r="G63" s="2">
        <v>1161.5805</v>
      </c>
      <c r="H63" s="2">
        <f>-Operaciones_table[[#This Row],[Precio Ejecutado]]*Operaciones_table[[#This Row],[Cantidad]]</f>
        <v>-364736.277</v>
      </c>
    </row>
    <row r="64" spans="1:8" x14ac:dyDescent="0.25">
      <c r="A64" s="4">
        <v>46115</v>
      </c>
      <c r="B64" t="s">
        <v>8</v>
      </c>
      <c r="C64" t="s">
        <v>23</v>
      </c>
      <c r="D64">
        <v>947</v>
      </c>
      <c r="E64" s="2">
        <v>134.89999389648401</v>
      </c>
      <c r="F64">
        <v>5.0000000000000001E-4</v>
      </c>
      <c r="G64" s="2">
        <v>134.96744389343201</v>
      </c>
      <c r="H64" s="2">
        <f>-Operaciones_table[[#This Row],[Precio Ejecutado]]*Operaciones_table[[#This Row],[Cantidad]]</f>
        <v>-127814.1693670801</v>
      </c>
    </row>
    <row r="65" spans="1:8" x14ac:dyDescent="0.25">
      <c r="A65" s="4">
        <v>46115</v>
      </c>
      <c r="B65" t="s">
        <v>16</v>
      </c>
      <c r="C65" t="s">
        <v>23</v>
      </c>
      <c r="D65">
        <v>1216</v>
      </c>
      <c r="E65" s="2">
        <v>25.674999237060501</v>
      </c>
      <c r="F65">
        <v>5.0000000000000001E-4</v>
      </c>
      <c r="G65" s="2">
        <v>25.687836736678999</v>
      </c>
      <c r="H65" s="2">
        <f>-Operaciones_table[[#This Row],[Precio Ejecutado]]*Operaciones_table[[#This Row],[Cantidad]]</f>
        <v>-31236.409471801664</v>
      </c>
    </row>
    <row r="66" spans="1:8" x14ac:dyDescent="0.25">
      <c r="A66" s="4">
        <v>46115</v>
      </c>
      <c r="B66" t="s">
        <v>32</v>
      </c>
      <c r="C66" t="s">
        <v>23</v>
      </c>
      <c r="D66">
        <v>6143</v>
      </c>
      <c r="E66" s="2">
        <v>38.959999084472599</v>
      </c>
      <c r="F66">
        <v>5.0000000000000001E-4</v>
      </c>
      <c r="G66" s="2">
        <v>38.979479084014798</v>
      </c>
      <c r="H66" s="2">
        <f>-Operaciones_table[[#This Row],[Precio Ejecutado]]*Operaciones_table[[#This Row],[Cantidad]]</f>
        <v>-239450.9400131029</v>
      </c>
    </row>
    <row r="67" spans="1:8" x14ac:dyDescent="0.25">
      <c r="A67" s="4">
        <v>46115</v>
      </c>
      <c r="B67" t="s">
        <v>33</v>
      </c>
      <c r="C67" t="s">
        <v>23</v>
      </c>
      <c r="D67">
        <v>2177</v>
      </c>
      <c r="E67" s="2">
        <v>79.419998168945298</v>
      </c>
      <c r="F67">
        <v>5.0000000000000001E-4</v>
      </c>
      <c r="G67" s="2">
        <v>79.459708168029707</v>
      </c>
      <c r="H67" s="2">
        <f>-Operaciones_table[[#This Row],[Precio Ejecutado]]*Operaciones_table[[#This Row],[Cantidad]]</f>
        <v>-172983.78468180067</v>
      </c>
    </row>
    <row r="68" spans="1:8" x14ac:dyDescent="0.25">
      <c r="A68" s="4">
        <v>46115</v>
      </c>
      <c r="B68" t="s">
        <v>28</v>
      </c>
      <c r="C68" t="s">
        <v>26</v>
      </c>
      <c r="D68">
        <v>-3861</v>
      </c>
      <c r="E68" s="2">
        <v>70.519996643066406</v>
      </c>
      <c r="F68">
        <v>5.0000000000000001E-4</v>
      </c>
      <c r="G68" s="2">
        <v>70.4847366447448</v>
      </c>
      <c r="H68" s="2">
        <f>-Operaciones_table[[#This Row],[Precio Ejecutado]]*Operaciones_table[[#This Row],[Cantidad]]</f>
        <v>272141.56818535965</v>
      </c>
    </row>
    <row r="69" spans="1:8" x14ac:dyDescent="0.25">
      <c r="A69" s="4">
        <v>46115</v>
      </c>
      <c r="B69" t="s">
        <v>6</v>
      </c>
      <c r="C69" t="s">
        <v>26</v>
      </c>
      <c r="D69">
        <v>-2461</v>
      </c>
      <c r="E69" s="2">
        <v>149.69999694824199</v>
      </c>
      <c r="F69">
        <v>5.0000000000000001E-4</v>
      </c>
      <c r="G69" s="2">
        <v>149.62514694976801</v>
      </c>
      <c r="H69" s="2">
        <f>-Operaciones_table[[#This Row],[Precio Ejecutado]]*Operaciones_table[[#This Row],[Cantidad]]</f>
        <v>368227.48664337909</v>
      </c>
    </row>
    <row r="70" spans="1:8" x14ac:dyDescent="0.25">
      <c r="A70" s="4">
        <v>46115</v>
      </c>
      <c r="B70" t="s">
        <v>34</v>
      </c>
      <c r="C70" t="s">
        <v>26</v>
      </c>
      <c r="D70">
        <v>-12173</v>
      </c>
      <c r="E70" s="2">
        <v>62.659999847412102</v>
      </c>
      <c r="F70">
        <v>5.0000000000000001E-4</v>
      </c>
      <c r="G70" s="2">
        <v>62.628669847488403</v>
      </c>
      <c r="H70" s="2">
        <f>-Operaciones_table[[#This Row],[Precio Ejecutado]]*Operaciones_table[[#This Row],[Cantidad]]</f>
        <v>762378.79805347638</v>
      </c>
    </row>
    <row r="71" spans="1:8" x14ac:dyDescent="0.25">
      <c r="A71" s="4">
        <v>46115</v>
      </c>
      <c r="B71" t="s">
        <v>36</v>
      </c>
      <c r="C71" t="s">
        <v>26</v>
      </c>
      <c r="D71">
        <v>-5905</v>
      </c>
      <c r="E71" s="2">
        <v>22.944999694824201</v>
      </c>
      <c r="F71">
        <v>5.0000000000000001E-4</v>
      </c>
      <c r="G71" s="2">
        <v>22.933527194976801</v>
      </c>
      <c r="H71" s="2">
        <f>-Operaciones_table[[#This Row],[Precio Ejecutado]]*Operaciones_table[[#This Row],[Cantidad]]</f>
        <v>135422.478086338</v>
      </c>
    </row>
    <row r="72" spans="1:8" x14ac:dyDescent="0.25">
      <c r="A72" s="4">
        <v>46115</v>
      </c>
      <c r="B72" t="s">
        <v>25</v>
      </c>
      <c r="C72" t="s">
        <v>26</v>
      </c>
      <c r="D72">
        <v>-12852</v>
      </c>
      <c r="E72" s="2">
        <v>24.684999465942301</v>
      </c>
      <c r="F72">
        <v>5.0000000000000001E-4</v>
      </c>
      <c r="G72" s="2">
        <v>24.672656966209399</v>
      </c>
      <c r="H72" s="2">
        <f>-Operaciones_table[[#This Row],[Precio Ejecutado]]*Operaciones_table[[#This Row],[Cantidad]]</f>
        <v>317092.9873297232</v>
      </c>
    </row>
    <row r="73" spans="1:8" x14ac:dyDescent="0.25">
      <c r="A73" s="4">
        <v>46115</v>
      </c>
      <c r="B73" t="s">
        <v>17</v>
      </c>
      <c r="C73" t="s">
        <v>26</v>
      </c>
      <c r="D73">
        <v>-221</v>
      </c>
      <c r="E73" s="2">
        <v>1570.5</v>
      </c>
      <c r="F73">
        <v>5.0000000000000001E-4</v>
      </c>
      <c r="G73" s="2">
        <v>1569.7147500000001</v>
      </c>
      <c r="H73" s="2">
        <f>-Operaciones_table[[#This Row],[Precio Ejecutado]]*Operaciones_table[[#This Row],[Cantidad]]</f>
        <v>346906.95975000004</v>
      </c>
    </row>
    <row r="74" spans="1:8" x14ac:dyDescent="0.25">
      <c r="A74" s="4">
        <v>46115</v>
      </c>
      <c r="B74" t="s">
        <v>37</v>
      </c>
      <c r="C74" t="s">
        <v>26</v>
      </c>
      <c r="D74">
        <v>-4227</v>
      </c>
      <c r="E74" s="2">
        <v>9.8140001296996999</v>
      </c>
      <c r="F74">
        <v>5.0000000000000001E-4</v>
      </c>
      <c r="G74" s="2">
        <v>9.8090931296348494</v>
      </c>
      <c r="H74" s="2">
        <f>-Operaciones_table[[#This Row],[Precio Ejecutado]]*Operaciones_table[[#This Row],[Cantidad]]</f>
        <v>41463.036658966506</v>
      </c>
    </row>
    <row r="75" spans="1:8" x14ac:dyDescent="0.25">
      <c r="A75" s="4">
        <v>46122</v>
      </c>
      <c r="B75" t="s">
        <v>9</v>
      </c>
      <c r="C75" t="s">
        <v>23</v>
      </c>
      <c r="D75">
        <v>2584</v>
      </c>
      <c r="E75" s="2">
        <v>41.555000305175703</v>
      </c>
      <c r="F75">
        <v>5.0000000000000001E-4</v>
      </c>
      <c r="G75" s="2">
        <v>41.5757778053283</v>
      </c>
      <c r="H75" s="2">
        <f>-Operaciones_table[[#This Row],[Precio Ejecutado]]*Operaciones_table[[#This Row],[Cantidad]]</f>
        <v>-107431.80984896833</v>
      </c>
    </row>
    <row r="76" spans="1:8" x14ac:dyDescent="0.25">
      <c r="A76" s="4">
        <v>46122</v>
      </c>
      <c r="B76" t="s">
        <v>37</v>
      </c>
      <c r="C76" t="s">
        <v>23</v>
      </c>
      <c r="D76">
        <v>19597</v>
      </c>
      <c r="E76" s="2">
        <v>10.5159997940063</v>
      </c>
      <c r="F76">
        <v>5.0000000000000001E-4</v>
      </c>
      <c r="G76" s="2">
        <v>10.521257793903301</v>
      </c>
      <c r="H76" s="2">
        <f>-Operaciones_table[[#This Row],[Precio Ejecutado]]*Operaciones_table[[#This Row],[Cantidad]]</f>
        <v>-206185.08898712299</v>
      </c>
    </row>
    <row r="77" spans="1:8" x14ac:dyDescent="0.25">
      <c r="A77" s="4">
        <v>46122</v>
      </c>
      <c r="B77" t="s">
        <v>6</v>
      </c>
      <c r="C77" t="s">
        <v>23</v>
      </c>
      <c r="D77">
        <v>6951</v>
      </c>
      <c r="E77" s="2">
        <v>167.22000122070301</v>
      </c>
      <c r="F77">
        <v>5.0000000000000001E-4</v>
      </c>
      <c r="G77" s="2">
        <v>167.30361122131299</v>
      </c>
      <c r="H77" s="2">
        <f>-Operaciones_table[[#This Row],[Precio Ejecutado]]*Operaciones_table[[#This Row],[Cantidad]]</f>
        <v>-1162927.4015993467</v>
      </c>
    </row>
    <row r="78" spans="1:8" x14ac:dyDescent="0.25">
      <c r="A78" s="4">
        <v>46122</v>
      </c>
      <c r="B78" t="s">
        <v>16</v>
      </c>
      <c r="C78" t="s">
        <v>23</v>
      </c>
      <c r="D78">
        <v>663</v>
      </c>
      <c r="E78" s="2">
        <v>27.709999084472599</v>
      </c>
      <c r="F78">
        <v>5.0000000000000001E-4</v>
      </c>
      <c r="G78" s="2">
        <v>27.7238540840148</v>
      </c>
      <c r="H78" s="2">
        <f>-Operaciones_table[[#This Row],[Precio Ejecutado]]*Operaciones_table[[#This Row],[Cantidad]]</f>
        <v>-18380.915257701814</v>
      </c>
    </row>
    <row r="79" spans="1:8" x14ac:dyDescent="0.25">
      <c r="A79" s="4">
        <v>46122</v>
      </c>
      <c r="B79" t="s">
        <v>8</v>
      </c>
      <c r="C79" t="s">
        <v>23</v>
      </c>
      <c r="D79">
        <v>1900</v>
      </c>
      <c r="E79" s="2">
        <v>137.80000305175699</v>
      </c>
      <c r="F79">
        <v>5.0000000000000001E-4</v>
      </c>
      <c r="G79" s="2">
        <v>137.86890305328299</v>
      </c>
      <c r="H79" s="2">
        <f>-Operaciones_table[[#This Row],[Precio Ejecutado]]*Operaciones_table[[#This Row],[Cantidad]]</f>
        <v>-261950.91580123769</v>
      </c>
    </row>
    <row r="80" spans="1:8" x14ac:dyDescent="0.25">
      <c r="A80" s="4">
        <v>46122</v>
      </c>
      <c r="B80" t="s">
        <v>33</v>
      </c>
      <c r="C80" t="s">
        <v>23</v>
      </c>
      <c r="D80">
        <v>3599</v>
      </c>
      <c r="E80" s="2">
        <v>78.610000610351506</v>
      </c>
      <c r="F80">
        <v>5.0000000000000001E-4</v>
      </c>
      <c r="G80" s="2">
        <v>78.649305610656697</v>
      </c>
      <c r="H80" s="2">
        <f>-Operaciones_table[[#This Row],[Precio Ejecutado]]*Operaciones_table[[#This Row],[Cantidad]]</f>
        <v>-283058.85089275346</v>
      </c>
    </row>
    <row r="81" spans="1:8" x14ac:dyDescent="0.25">
      <c r="A81" s="4">
        <v>46122</v>
      </c>
      <c r="B81" t="s">
        <v>14</v>
      </c>
      <c r="C81" t="s">
        <v>23</v>
      </c>
      <c r="D81">
        <v>5804</v>
      </c>
      <c r="E81" s="2">
        <v>40.119998931884702</v>
      </c>
      <c r="F81">
        <v>5.0000000000000001E-4</v>
      </c>
      <c r="G81" s="2">
        <v>40.140058931350701</v>
      </c>
      <c r="H81" s="2">
        <f>-Operaciones_table[[#This Row],[Precio Ejecutado]]*Operaciones_table[[#This Row],[Cantidad]]</f>
        <v>-232972.90203755946</v>
      </c>
    </row>
    <row r="82" spans="1:8" x14ac:dyDescent="0.25">
      <c r="A82" s="4">
        <v>46122</v>
      </c>
      <c r="B82" t="s">
        <v>25</v>
      </c>
      <c r="C82" t="s">
        <v>26</v>
      </c>
      <c r="D82">
        <v>-3328</v>
      </c>
      <c r="E82" s="2">
        <v>23.9500007629394</v>
      </c>
      <c r="F82">
        <v>5.0000000000000001E-4</v>
      </c>
      <c r="G82" s="2">
        <v>23.938025762557899</v>
      </c>
      <c r="H82" s="2">
        <f>-Operaciones_table[[#This Row],[Precio Ejecutado]]*Operaciones_table[[#This Row],[Cantidad]]</f>
        <v>79665.749737792692</v>
      </c>
    </row>
    <row r="83" spans="1:8" x14ac:dyDescent="0.25">
      <c r="A83" s="4">
        <v>46122</v>
      </c>
      <c r="B83" t="s">
        <v>7</v>
      </c>
      <c r="C83" t="s">
        <v>26</v>
      </c>
      <c r="D83">
        <v>-36557</v>
      </c>
      <c r="E83" s="2">
        <v>19.704999923706001</v>
      </c>
      <c r="F83">
        <v>5.0000000000000001E-4</v>
      </c>
      <c r="G83" s="2">
        <v>19.695147423744199</v>
      </c>
      <c r="H83" s="2">
        <f>-Operaciones_table[[#This Row],[Precio Ejecutado]]*Operaciones_table[[#This Row],[Cantidad]]</f>
        <v>719995.50436981674</v>
      </c>
    </row>
    <row r="84" spans="1:8" x14ac:dyDescent="0.25">
      <c r="A84" s="4">
        <v>46122</v>
      </c>
      <c r="B84" t="s">
        <v>35</v>
      </c>
      <c r="C84" t="s">
        <v>26</v>
      </c>
      <c r="D84">
        <v>-400</v>
      </c>
      <c r="E84" s="2">
        <v>313.29998779296801</v>
      </c>
      <c r="F84">
        <v>5.0000000000000001E-4</v>
      </c>
      <c r="G84" s="2">
        <v>313.14333779907201</v>
      </c>
      <c r="H84" s="2">
        <f>-Operaciones_table[[#This Row],[Precio Ejecutado]]*Operaciones_table[[#This Row],[Cantidad]]</f>
        <v>125257.33511962881</v>
      </c>
    </row>
    <row r="85" spans="1:8" x14ac:dyDescent="0.25">
      <c r="A85" s="4">
        <v>46122</v>
      </c>
      <c r="B85" t="s">
        <v>15</v>
      </c>
      <c r="C85" t="s">
        <v>26</v>
      </c>
      <c r="D85">
        <v>-294</v>
      </c>
      <c r="E85" s="2">
        <v>858.79998779296795</v>
      </c>
      <c r="F85">
        <v>5.0000000000000001E-4</v>
      </c>
      <c r="G85" s="2">
        <v>858.37058779907204</v>
      </c>
      <c r="H85" s="2">
        <f>-Operaciones_table[[#This Row],[Precio Ejecutado]]*Operaciones_table[[#This Row],[Cantidad]]</f>
        <v>252360.95281292719</v>
      </c>
    </row>
    <row r="86" spans="1:8" x14ac:dyDescent="0.25">
      <c r="A86" s="4">
        <v>46122</v>
      </c>
      <c r="B86" t="s">
        <v>28</v>
      </c>
      <c r="C86" t="s">
        <v>26</v>
      </c>
      <c r="D86">
        <v>-3049</v>
      </c>
      <c r="E86" s="2">
        <v>76</v>
      </c>
      <c r="F86">
        <v>5.0000000000000001E-4</v>
      </c>
      <c r="G86" s="2">
        <v>75.962000000000003</v>
      </c>
      <c r="H86" s="2">
        <f>-Operaciones_table[[#This Row],[Precio Ejecutado]]*Operaciones_table[[#This Row],[Cantidad]]</f>
        <v>231608.13800000001</v>
      </c>
    </row>
    <row r="87" spans="1:8" x14ac:dyDescent="0.25">
      <c r="A87" s="4">
        <v>46122</v>
      </c>
      <c r="B87" t="s">
        <v>5</v>
      </c>
      <c r="C87" t="s">
        <v>26</v>
      </c>
      <c r="D87">
        <v>-569</v>
      </c>
      <c r="E87" s="2">
        <v>1270</v>
      </c>
      <c r="F87">
        <v>5.0000000000000001E-4</v>
      </c>
      <c r="G87" s="2">
        <v>1269.365</v>
      </c>
      <c r="H87" s="2">
        <f>-Operaciones_table[[#This Row],[Precio Ejecutado]]*Operaciones_table[[#This Row],[Cantidad]]</f>
        <v>722268.68500000006</v>
      </c>
    </row>
    <row r="88" spans="1:8" x14ac:dyDescent="0.25">
      <c r="A88" s="4">
        <v>46122</v>
      </c>
      <c r="B88" t="s">
        <v>32</v>
      </c>
      <c r="C88" t="s">
        <v>26</v>
      </c>
      <c r="D88">
        <v>-2481</v>
      </c>
      <c r="E88" s="2">
        <v>42.825000762939403</v>
      </c>
      <c r="F88">
        <v>5.0000000000000001E-4</v>
      </c>
      <c r="G88" s="2">
        <v>42.803588262557902</v>
      </c>
      <c r="H88" s="2">
        <f>-Operaciones_table[[#This Row],[Precio Ejecutado]]*Operaciones_table[[#This Row],[Cantidad]]</f>
        <v>106195.70247940616</v>
      </c>
    </row>
    <row r="89" spans="1:8" x14ac:dyDescent="0.25">
      <c r="A89" s="4">
        <v>46122</v>
      </c>
      <c r="B89" t="s">
        <v>12</v>
      </c>
      <c r="C89" t="s">
        <v>26</v>
      </c>
      <c r="D89">
        <v>-115</v>
      </c>
      <c r="E89" s="2">
        <v>301.64999389648398</v>
      </c>
      <c r="F89">
        <v>5.0000000000000001E-4</v>
      </c>
      <c r="G89" s="2">
        <v>301.49916889953602</v>
      </c>
      <c r="H89" s="2">
        <f>-Operaciones_table[[#This Row],[Precio Ejecutado]]*Operaciones_table[[#This Row],[Cantidad]]</f>
        <v>34672.404423446642</v>
      </c>
    </row>
    <row r="90" spans="1:8" x14ac:dyDescent="0.25">
      <c r="A90" s="4">
        <v>46129</v>
      </c>
      <c r="B90" t="s">
        <v>33</v>
      </c>
      <c r="C90" t="s">
        <v>23</v>
      </c>
      <c r="D90">
        <v>2329</v>
      </c>
      <c r="E90" s="2">
        <v>73.069999694824205</v>
      </c>
      <c r="F90">
        <v>5.0000000000000001E-4</v>
      </c>
      <c r="G90" s="2">
        <v>73.106534694671595</v>
      </c>
      <c r="H90" s="2">
        <f>-Operaciones_table[[#This Row],[Precio Ejecutado]]*Operaciones_table[[#This Row],[Cantidad]]</f>
        <v>-170265.11930389015</v>
      </c>
    </row>
    <row r="91" spans="1:8" x14ac:dyDescent="0.25">
      <c r="A91" s="4">
        <v>46129</v>
      </c>
      <c r="B91" t="s">
        <v>16</v>
      </c>
      <c r="C91" t="s">
        <v>23</v>
      </c>
      <c r="D91">
        <v>6891</v>
      </c>
      <c r="E91" s="2">
        <v>28.909999847412099</v>
      </c>
      <c r="F91">
        <v>5.0000000000000001E-4</v>
      </c>
      <c r="G91" s="2">
        <v>28.924454847335799</v>
      </c>
      <c r="H91" s="2">
        <f>-Operaciones_table[[#This Row],[Precio Ejecutado]]*Operaciones_table[[#This Row],[Cantidad]]</f>
        <v>-199318.41835299099</v>
      </c>
    </row>
    <row r="92" spans="1:8" x14ac:dyDescent="0.25">
      <c r="A92" s="4">
        <v>46129</v>
      </c>
      <c r="B92" t="s">
        <v>13</v>
      </c>
      <c r="C92" t="s">
        <v>23</v>
      </c>
      <c r="D92">
        <v>3946</v>
      </c>
      <c r="E92" s="2">
        <v>71.339996337890597</v>
      </c>
      <c r="F92">
        <v>5.0000000000000001E-4</v>
      </c>
      <c r="G92" s="2">
        <v>71.375666336059496</v>
      </c>
      <c r="H92" s="2">
        <f>-Operaciones_table[[#This Row],[Precio Ejecutado]]*Operaciones_table[[#This Row],[Cantidad]]</f>
        <v>-281648.37936209078</v>
      </c>
    </row>
    <row r="93" spans="1:8" x14ac:dyDescent="0.25">
      <c r="A93" s="4">
        <v>46129</v>
      </c>
      <c r="B93" t="s">
        <v>38</v>
      </c>
      <c r="C93" t="s">
        <v>23</v>
      </c>
      <c r="D93">
        <v>4327</v>
      </c>
      <c r="E93" s="2">
        <v>55.020000457763601</v>
      </c>
      <c r="F93">
        <v>5.0000000000000001E-4</v>
      </c>
      <c r="G93" s="2">
        <v>55.047510457992502</v>
      </c>
      <c r="H93" s="2">
        <f>-Operaciones_table[[#This Row],[Precio Ejecutado]]*Operaciones_table[[#This Row],[Cantidad]]</f>
        <v>-238190.57775173357</v>
      </c>
    </row>
    <row r="94" spans="1:8" x14ac:dyDescent="0.25">
      <c r="A94" s="4">
        <v>46129</v>
      </c>
      <c r="B94" t="s">
        <v>10</v>
      </c>
      <c r="C94" t="s">
        <v>23</v>
      </c>
      <c r="D94">
        <v>1388</v>
      </c>
      <c r="E94" s="2">
        <v>156.24000549316401</v>
      </c>
      <c r="F94">
        <v>5.0000000000000001E-4</v>
      </c>
      <c r="G94" s="2">
        <v>156.31812549591001</v>
      </c>
      <c r="H94" s="2">
        <f>-Operaciones_table[[#This Row],[Precio Ejecutado]]*Operaciones_table[[#This Row],[Cantidad]]</f>
        <v>-216969.55818832311</v>
      </c>
    </row>
    <row r="95" spans="1:8" x14ac:dyDescent="0.25">
      <c r="A95" s="4">
        <v>46129</v>
      </c>
      <c r="B95" t="s">
        <v>14</v>
      </c>
      <c r="C95" t="s">
        <v>23</v>
      </c>
      <c r="D95">
        <v>19134</v>
      </c>
      <c r="E95" s="2">
        <v>41.099998474121001</v>
      </c>
      <c r="F95">
        <v>5.0000000000000001E-4</v>
      </c>
      <c r="G95" s="2">
        <v>41.120548473358099</v>
      </c>
      <c r="H95" s="2">
        <f>-Operaciones_table[[#This Row],[Precio Ejecutado]]*Operaciones_table[[#This Row],[Cantidad]]</f>
        <v>-786800.5744892339</v>
      </c>
    </row>
    <row r="96" spans="1:8" x14ac:dyDescent="0.25">
      <c r="A96" s="4">
        <v>46129</v>
      </c>
      <c r="B96" t="s">
        <v>7</v>
      </c>
      <c r="C96" t="s">
        <v>23</v>
      </c>
      <c r="D96">
        <v>832</v>
      </c>
      <c r="E96" s="2">
        <v>20.309999465942301</v>
      </c>
      <c r="F96">
        <v>5.0000000000000001E-4</v>
      </c>
      <c r="G96" s="2">
        <v>20.320154465675301</v>
      </c>
      <c r="H96" s="2">
        <f>-Operaciones_table[[#This Row],[Precio Ejecutado]]*Operaciones_table[[#This Row],[Cantidad]]</f>
        <v>-16906.368515441849</v>
      </c>
    </row>
    <row r="97" spans="1:8" x14ac:dyDescent="0.25">
      <c r="A97" s="4">
        <v>46129</v>
      </c>
      <c r="B97" t="s">
        <v>5</v>
      </c>
      <c r="C97" t="s">
        <v>23</v>
      </c>
      <c r="D97">
        <v>674</v>
      </c>
      <c r="E97" s="2">
        <v>1244</v>
      </c>
      <c r="F97">
        <v>5.0000000000000001E-4</v>
      </c>
      <c r="G97" s="2">
        <v>1244.6219999999901</v>
      </c>
      <c r="H97" s="2">
        <f>-Operaciones_table[[#This Row],[Precio Ejecutado]]*Operaciones_table[[#This Row],[Cantidad]]</f>
        <v>-838875.22799999325</v>
      </c>
    </row>
    <row r="98" spans="1:8" x14ac:dyDescent="0.25">
      <c r="A98" s="4">
        <v>46129</v>
      </c>
      <c r="B98" t="s">
        <v>28</v>
      </c>
      <c r="C98" t="s">
        <v>26</v>
      </c>
      <c r="D98">
        <v>-1765</v>
      </c>
      <c r="E98" s="2">
        <v>81.440002441406193</v>
      </c>
      <c r="F98">
        <v>5.0000000000000001E-4</v>
      </c>
      <c r="G98" s="2">
        <v>81.399282440185502</v>
      </c>
      <c r="H98" s="2">
        <f>-Operaciones_table[[#This Row],[Precio Ejecutado]]*Operaciones_table[[#This Row],[Cantidad]]</f>
        <v>143669.73350692741</v>
      </c>
    </row>
    <row r="99" spans="1:8" x14ac:dyDescent="0.25">
      <c r="A99" s="4">
        <v>46129</v>
      </c>
      <c r="B99" t="s">
        <v>15</v>
      </c>
      <c r="C99" t="s">
        <v>26</v>
      </c>
      <c r="D99">
        <v>-81</v>
      </c>
      <c r="E99" s="2">
        <v>984.90002441406205</v>
      </c>
      <c r="F99">
        <v>5.0000000000000001E-4</v>
      </c>
      <c r="G99" s="2">
        <v>984.40757440185496</v>
      </c>
      <c r="H99" s="2">
        <f>-Operaciones_table[[#This Row],[Precio Ejecutado]]*Operaciones_table[[#This Row],[Cantidad]]</f>
        <v>79737.013526550247</v>
      </c>
    </row>
    <row r="100" spans="1:8" x14ac:dyDescent="0.25">
      <c r="A100" s="4">
        <v>46129</v>
      </c>
      <c r="B100" t="s">
        <v>9</v>
      </c>
      <c r="C100" t="s">
        <v>26</v>
      </c>
      <c r="D100">
        <v>-803</v>
      </c>
      <c r="E100" s="2">
        <v>44.330001831054602</v>
      </c>
      <c r="F100">
        <v>5.0000000000000001E-4</v>
      </c>
      <c r="G100" s="2">
        <v>44.307836830139102</v>
      </c>
      <c r="H100" s="2">
        <f>-Operaciones_table[[#This Row],[Precio Ejecutado]]*Operaciones_table[[#This Row],[Cantidad]]</f>
        <v>35579.192974601698</v>
      </c>
    </row>
    <row r="101" spans="1:8" x14ac:dyDescent="0.25">
      <c r="A101" s="4">
        <v>46129</v>
      </c>
      <c r="B101" t="s">
        <v>32</v>
      </c>
      <c r="C101" t="s">
        <v>26</v>
      </c>
      <c r="D101">
        <v>-6028</v>
      </c>
      <c r="E101" s="2">
        <v>48.900001525878899</v>
      </c>
      <c r="F101">
        <v>5.0000000000000001E-4</v>
      </c>
      <c r="G101" s="2">
        <v>48.875551525115903</v>
      </c>
      <c r="H101" s="2">
        <f>-Operaciones_table[[#This Row],[Precio Ejecutado]]*Operaciones_table[[#This Row],[Cantidad]]</f>
        <v>294621.82459339866</v>
      </c>
    </row>
    <row r="102" spans="1:8" x14ac:dyDescent="0.25">
      <c r="A102" s="4">
        <v>46129</v>
      </c>
      <c r="B102" t="s">
        <v>25</v>
      </c>
      <c r="C102" t="s">
        <v>26</v>
      </c>
      <c r="D102">
        <v>-938</v>
      </c>
      <c r="E102" s="2">
        <v>21.7600002288818</v>
      </c>
      <c r="F102">
        <v>5.0000000000000001E-4</v>
      </c>
      <c r="G102" s="2">
        <v>21.7491202287673</v>
      </c>
      <c r="H102" s="2">
        <f>-Operaciones_table[[#This Row],[Precio Ejecutado]]*Operaciones_table[[#This Row],[Cantidad]]</f>
        <v>20400.674774583727</v>
      </c>
    </row>
    <row r="103" spans="1:8" x14ac:dyDescent="0.25">
      <c r="A103" s="4">
        <v>46129</v>
      </c>
      <c r="B103" t="s">
        <v>6</v>
      </c>
      <c r="C103" t="s">
        <v>26</v>
      </c>
      <c r="D103">
        <v>-4228</v>
      </c>
      <c r="E103" s="2">
        <v>172.05999755859301</v>
      </c>
      <c r="F103">
        <v>5.0000000000000001E-4</v>
      </c>
      <c r="G103" s="2">
        <v>171.97396755981401</v>
      </c>
      <c r="H103" s="2">
        <f>-Operaciones_table[[#This Row],[Precio Ejecutado]]*Operaciones_table[[#This Row],[Cantidad]]</f>
        <v>727105.93484289362</v>
      </c>
    </row>
    <row r="104" spans="1:8" x14ac:dyDescent="0.25">
      <c r="A104" s="4">
        <v>46129</v>
      </c>
      <c r="B104" t="s">
        <v>37</v>
      </c>
      <c r="C104" t="s">
        <v>26</v>
      </c>
      <c r="D104">
        <v>-50484</v>
      </c>
      <c r="E104" s="2">
        <v>11.041999816894499</v>
      </c>
      <c r="F104">
        <v>5.0000000000000001E-4</v>
      </c>
      <c r="G104" s="2">
        <v>11.036478816986</v>
      </c>
      <c r="H104" s="2">
        <f>-Operaciones_table[[#This Row],[Precio Ejecutado]]*Operaciones_table[[#This Row],[Cantidad]]</f>
        <v>557165.59659672121</v>
      </c>
    </row>
    <row r="105" spans="1:8" x14ac:dyDescent="0.25">
      <c r="A105" s="4">
        <v>46129</v>
      </c>
      <c r="B105" t="s">
        <v>12</v>
      </c>
      <c r="C105" t="s">
        <v>26</v>
      </c>
      <c r="D105">
        <v>-1010</v>
      </c>
      <c r="E105" s="2">
        <v>321.100006103515</v>
      </c>
      <c r="F105">
        <v>5.0000000000000001E-4</v>
      </c>
      <c r="G105" s="2">
        <v>320.93945610046302</v>
      </c>
      <c r="H105" s="2">
        <f>-Operaciones_table[[#This Row],[Precio Ejecutado]]*Operaciones_table[[#This Row],[Cantidad]]</f>
        <v>324148.85066146764</v>
      </c>
    </row>
    <row r="106" spans="1:8" x14ac:dyDescent="0.25">
      <c r="A106" s="4">
        <v>46129</v>
      </c>
      <c r="B106" t="s">
        <v>35</v>
      </c>
      <c r="C106" t="s">
        <v>26</v>
      </c>
      <c r="D106">
        <v>-1147</v>
      </c>
      <c r="E106" s="2">
        <v>315.29998779296801</v>
      </c>
      <c r="F106">
        <v>5.0000000000000001E-4</v>
      </c>
      <c r="G106" s="2">
        <v>315.14233779907198</v>
      </c>
      <c r="H106" s="2">
        <f>-Operaciones_table[[#This Row],[Precio Ejecutado]]*Operaciones_table[[#This Row],[Cantidad]]</f>
        <v>361468.26145553554</v>
      </c>
    </row>
    <row r="107" spans="1:8" x14ac:dyDescent="0.25">
      <c r="A107" s="4">
        <v>46129</v>
      </c>
      <c r="B107" t="s">
        <v>8</v>
      </c>
      <c r="C107" t="s">
        <v>26</v>
      </c>
      <c r="D107">
        <v>-1401</v>
      </c>
      <c r="E107" s="2">
        <v>146.39999389648401</v>
      </c>
      <c r="F107">
        <v>5.0000000000000001E-4</v>
      </c>
      <c r="G107" s="2">
        <v>146.326793899536</v>
      </c>
      <c r="H107" s="2">
        <f>-Operaciones_table[[#This Row],[Precio Ejecutado]]*Operaciones_table[[#This Row],[Cantidad]]</f>
        <v>205003.83825324994</v>
      </c>
    </row>
    <row r="108" spans="1:8" x14ac:dyDescent="0.25">
      <c r="A108" s="4">
        <v>46136</v>
      </c>
      <c r="B108" t="s">
        <v>9</v>
      </c>
      <c r="C108" t="s">
        <v>23</v>
      </c>
      <c r="D108">
        <v>2251</v>
      </c>
      <c r="E108" s="2">
        <v>41.534999847412102</v>
      </c>
      <c r="F108">
        <v>5.0000000000000001E-4</v>
      </c>
      <c r="G108" s="2">
        <v>41.555767347335802</v>
      </c>
      <c r="H108" s="2">
        <f>-Operaciones_table[[#This Row],[Precio Ejecutado]]*Operaciones_table[[#This Row],[Cantidad]]</f>
        <v>-93542.032298852893</v>
      </c>
    </row>
    <row r="109" spans="1:8" x14ac:dyDescent="0.25">
      <c r="A109" s="4">
        <v>46136</v>
      </c>
      <c r="B109" t="s">
        <v>25</v>
      </c>
      <c r="C109" t="s">
        <v>23</v>
      </c>
      <c r="D109">
        <v>10225</v>
      </c>
      <c r="E109" s="2">
        <v>22.9500007629394</v>
      </c>
      <c r="F109">
        <v>5.0000000000000001E-4</v>
      </c>
      <c r="G109" s="2">
        <v>22.961475763320902</v>
      </c>
      <c r="H109" s="2">
        <f>-Operaciones_table[[#This Row],[Precio Ejecutado]]*Operaciones_table[[#This Row],[Cantidad]]</f>
        <v>-234781.08967995623</v>
      </c>
    </row>
    <row r="110" spans="1:8" x14ac:dyDescent="0.25">
      <c r="A110" s="4">
        <v>46136</v>
      </c>
      <c r="B110" t="s">
        <v>7</v>
      </c>
      <c r="C110" t="s">
        <v>23</v>
      </c>
      <c r="D110">
        <v>9644</v>
      </c>
      <c r="E110" s="2">
        <v>18.579999923706001</v>
      </c>
      <c r="F110">
        <v>5.0000000000000001E-4</v>
      </c>
      <c r="G110" s="2">
        <v>18.589289923667899</v>
      </c>
      <c r="H110" s="2">
        <f>-Operaciones_table[[#This Row],[Precio Ejecutado]]*Operaciones_table[[#This Row],[Cantidad]]</f>
        <v>-179275.1120238532</v>
      </c>
    </row>
    <row r="111" spans="1:8" x14ac:dyDescent="0.25">
      <c r="A111" s="4">
        <v>46136</v>
      </c>
      <c r="B111" t="s">
        <v>10</v>
      </c>
      <c r="C111" t="s">
        <v>23</v>
      </c>
      <c r="D111">
        <v>208</v>
      </c>
      <c r="E111" s="2">
        <v>147.27999877929599</v>
      </c>
      <c r="F111">
        <v>5.0000000000000001E-4</v>
      </c>
      <c r="G111" s="2">
        <v>147.35363877868599</v>
      </c>
      <c r="H111" s="2">
        <f>-Operaciones_table[[#This Row],[Precio Ejecutado]]*Operaciones_table[[#This Row],[Cantidad]]</f>
        <v>-30649.556865966686</v>
      </c>
    </row>
    <row r="112" spans="1:8" x14ac:dyDescent="0.25">
      <c r="A112" s="4">
        <v>46136</v>
      </c>
      <c r="B112" t="s">
        <v>38</v>
      </c>
      <c r="C112" t="s">
        <v>23</v>
      </c>
      <c r="D112">
        <v>23473</v>
      </c>
      <c r="E112" s="2">
        <v>52.560001373291001</v>
      </c>
      <c r="F112">
        <v>5.0000000000000001E-4</v>
      </c>
      <c r="G112" s="2">
        <v>52.586281373977599</v>
      </c>
      <c r="H112" s="2">
        <f>-Operaciones_table[[#This Row],[Precio Ejecutado]]*Operaciones_table[[#This Row],[Cantidad]]</f>
        <v>-1234357.7826913763</v>
      </c>
    </row>
    <row r="113" spans="1:8" x14ac:dyDescent="0.25">
      <c r="A113" s="4">
        <v>46136</v>
      </c>
      <c r="B113" t="s">
        <v>13</v>
      </c>
      <c r="C113" t="s">
        <v>23</v>
      </c>
      <c r="D113">
        <v>1059</v>
      </c>
      <c r="E113" s="2">
        <v>66.419998168945298</v>
      </c>
      <c r="F113">
        <v>5.0000000000000001E-4</v>
      </c>
      <c r="G113" s="2">
        <v>66.453208168029704</v>
      </c>
      <c r="H113" s="2">
        <f>-Operaciones_table[[#This Row],[Precio Ejecutado]]*Operaciones_table[[#This Row],[Cantidad]]</f>
        <v>-70373.947449943458</v>
      </c>
    </row>
    <row r="114" spans="1:8" x14ac:dyDescent="0.25">
      <c r="A114" s="4">
        <v>46136</v>
      </c>
      <c r="B114" t="s">
        <v>15</v>
      </c>
      <c r="C114" t="s">
        <v>23</v>
      </c>
      <c r="D114">
        <v>175</v>
      </c>
      <c r="E114" s="2">
        <v>975.09997558593705</v>
      </c>
      <c r="F114">
        <v>5.0000000000000001E-4</v>
      </c>
      <c r="G114" s="2">
        <v>975.58752557372998</v>
      </c>
      <c r="H114" s="2">
        <f>-Operaciones_table[[#This Row],[Precio Ejecutado]]*Operaciones_table[[#This Row],[Cantidad]]</f>
        <v>-170727.81697540273</v>
      </c>
    </row>
    <row r="115" spans="1:8" x14ac:dyDescent="0.25">
      <c r="A115" s="4">
        <v>46136</v>
      </c>
      <c r="B115" t="s">
        <v>17</v>
      </c>
      <c r="C115" t="s">
        <v>23</v>
      </c>
      <c r="D115">
        <v>225</v>
      </c>
      <c r="E115" s="2">
        <v>1319.19995117187</v>
      </c>
      <c r="F115">
        <v>5.0000000000000001E-4</v>
      </c>
      <c r="G115" s="2">
        <v>1319.85955114746</v>
      </c>
      <c r="H115" s="2">
        <f>-Operaciones_table[[#This Row],[Precio Ejecutado]]*Operaciones_table[[#This Row],[Cantidad]]</f>
        <v>-296968.3990081785</v>
      </c>
    </row>
    <row r="116" spans="1:8" x14ac:dyDescent="0.25">
      <c r="A116" s="4">
        <v>46136</v>
      </c>
      <c r="B116" t="s">
        <v>32</v>
      </c>
      <c r="C116" t="s">
        <v>23</v>
      </c>
      <c r="D116">
        <v>11124</v>
      </c>
      <c r="E116" s="2">
        <v>54.150001525878899</v>
      </c>
      <c r="F116">
        <v>5.0000000000000001E-4</v>
      </c>
      <c r="G116" s="2">
        <v>54.177076526641798</v>
      </c>
      <c r="H116" s="2">
        <f>-Operaciones_table[[#This Row],[Precio Ejecutado]]*Operaciones_table[[#This Row],[Cantidad]]</f>
        <v>-602665.79928236338</v>
      </c>
    </row>
    <row r="117" spans="1:8" x14ac:dyDescent="0.25">
      <c r="A117" s="4">
        <v>46136</v>
      </c>
      <c r="B117" t="s">
        <v>6</v>
      </c>
      <c r="C117" t="s">
        <v>23</v>
      </c>
      <c r="D117">
        <v>3623</v>
      </c>
      <c r="E117" s="2">
        <v>187.61999511718699</v>
      </c>
      <c r="F117">
        <v>5.0000000000000001E-4</v>
      </c>
      <c r="G117" s="2">
        <v>187.71380511474601</v>
      </c>
      <c r="H117" s="2">
        <f>-Operaciones_table[[#This Row],[Precio Ejecutado]]*Operaciones_table[[#This Row],[Cantidad]]</f>
        <v>-680087.11593072477</v>
      </c>
    </row>
    <row r="118" spans="1:8" x14ac:dyDescent="0.25">
      <c r="A118" s="4">
        <v>46136</v>
      </c>
      <c r="B118" t="s">
        <v>28</v>
      </c>
      <c r="C118" t="s">
        <v>26</v>
      </c>
      <c r="D118">
        <v>-1055</v>
      </c>
      <c r="E118" s="2">
        <v>77.540000915527301</v>
      </c>
      <c r="F118">
        <v>5.0000000000000001E-4</v>
      </c>
      <c r="G118" s="2">
        <v>77.501230915069499</v>
      </c>
      <c r="H118" s="2">
        <f>-Operaciones_table[[#This Row],[Precio Ejecutado]]*Operaciones_table[[#This Row],[Cantidad]]</f>
        <v>81763.798615398322</v>
      </c>
    </row>
    <row r="119" spans="1:8" x14ac:dyDescent="0.25">
      <c r="A119" s="4">
        <v>46136</v>
      </c>
      <c r="B119" t="s">
        <v>5</v>
      </c>
      <c r="C119" t="s">
        <v>26</v>
      </c>
      <c r="D119">
        <v>-111</v>
      </c>
      <c r="E119" s="2">
        <v>1249.59997558593</v>
      </c>
      <c r="F119">
        <v>5.0000000000000001E-4</v>
      </c>
      <c r="G119" s="2">
        <v>1248.9751755981399</v>
      </c>
      <c r="H119" s="2">
        <f>-Operaciones_table[[#This Row],[Precio Ejecutado]]*Operaciones_table[[#This Row],[Cantidad]]</f>
        <v>138636.24449139353</v>
      </c>
    </row>
    <row r="120" spans="1:8" x14ac:dyDescent="0.25">
      <c r="A120" s="4">
        <v>46136</v>
      </c>
      <c r="B120" t="s">
        <v>8</v>
      </c>
      <c r="C120" t="s">
        <v>26</v>
      </c>
      <c r="D120">
        <v>-577</v>
      </c>
      <c r="E120" s="2">
        <v>136.25</v>
      </c>
      <c r="F120">
        <v>5.0000000000000001E-4</v>
      </c>
      <c r="G120" s="2">
        <v>136.18187499999999</v>
      </c>
      <c r="H120" s="2">
        <f>-Operaciones_table[[#This Row],[Precio Ejecutado]]*Operaciones_table[[#This Row],[Cantidad]]</f>
        <v>78576.94187499999</v>
      </c>
    </row>
    <row r="121" spans="1:8" x14ac:dyDescent="0.25">
      <c r="A121" s="4">
        <v>46136</v>
      </c>
      <c r="B121" t="s">
        <v>14</v>
      </c>
      <c r="C121" t="s">
        <v>26</v>
      </c>
      <c r="D121">
        <v>-27490</v>
      </c>
      <c r="E121" s="2">
        <v>38.5</v>
      </c>
      <c r="F121">
        <v>5.0000000000000001E-4</v>
      </c>
      <c r="G121" s="2">
        <v>38.48075</v>
      </c>
      <c r="H121" s="2">
        <f>-Operaciones_table[[#This Row],[Precio Ejecutado]]*Operaciones_table[[#This Row],[Cantidad]]</f>
        <v>1057835.8175000001</v>
      </c>
    </row>
    <row r="122" spans="1:8" x14ac:dyDescent="0.25">
      <c r="A122" s="4">
        <v>46136</v>
      </c>
      <c r="B122" t="s">
        <v>16</v>
      </c>
      <c r="C122" t="s">
        <v>26</v>
      </c>
      <c r="D122">
        <v>-7468</v>
      </c>
      <c r="E122" s="2">
        <v>27.059999465942301</v>
      </c>
      <c r="F122">
        <v>5.0000000000000001E-4</v>
      </c>
      <c r="G122" s="2">
        <v>27.046469466209398</v>
      </c>
      <c r="H122" s="2">
        <f>-Operaciones_table[[#This Row],[Precio Ejecutado]]*Operaciones_table[[#This Row],[Cantidad]]</f>
        <v>201983.03397365179</v>
      </c>
    </row>
    <row r="123" spans="1:8" x14ac:dyDescent="0.25">
      <c r="A123" s="4">
        <v>46136</v>
      </c>
      <c r="B123" t="s">
        <v>35</v>
      </c>
      <c r="C123" t="s">
        <v>26</v>
      </c>
      <c r="D123">
        <v>-1247</v>
      </c>
      <c r="E123" s="2">
        <v>270</v>
      </c>
      <c r="F123">
        <v>5.0000000000000001E-4</v>
      </c>
      <c r="G123" s="2">
        <v>269.86500000000001</v>
      </c>
      <c r="H123" s="2">
        <f>-Operaciones_table[[#This Row],[Precio Ejecutado]]*Operaciones_table[[#This Row],[Cantidad]]</f>
        <v>336521.65500000003</v>
      </c>
    </row>
    <row r="124" spans="1:8" x14ac:dyDescent="0.25">
      <c r="A124" s="4">
        <v>46136</v>
      </c>
      <c r="B124" t="s">
        <v>33</v>
      </c>
      <c r="C124" t="s">
        <v>26</v>
      </c>
      <c r="D124">
        <v>-22074</v>
      </c>
      <c r="E124" s="2">
        <v>77</v>
      </c>
      <c r="F124">
        <v>5.0000000000000001E-4</v>
      </c>
      <c r="G124" s="2">
        <v>76.961500000000001</v>
      </c>
      <c r="H124" s="2">
        <f>-Operaciones_table[[#This Row],[Precio Ejecutado]]*Operaciones_table[[#This Row],[Cantidad]]</f>
        <v>1698848.1510000001</v>
      </c>
    </row>
    <row r="125" spans="1:8" x14ac:dyDescent="0.25">
      <c r="A125" s="4">
        <v>46143</v>
      </c>
      <c r="B125" t="s">
        <v>28</v>
      </c>
      <c r="C125" t="s">
        <v>23</v>
      </c>
      <c r="D125">
        <v>2037</v>
      </c>
      <c r="E125" s="2">
        <v>77.639999000000003</v>
      </c>
      <c r="F125">
        <v>5.0000000000000001E-4</v>
      </c>
      <c r="G125" s="2">
        <v>77.678818999499995</v>
      </c>
      <c r="H125" s="2">
        <f>-Operaciones_table[[#This Row],[Precio Ejecutado]]*Operaciones_table[[#This Row],[Cantidad]]</f>
        <v>-158231.75430198148</v>
      </c>
    </row>
    <row r="126" spans="1:8" x14ac:dyDescent="0.25">
      <c r="A126" s="4">
        <v>46143</v>
      </c>
      <c r="B126" t="s">
        <v>12</v>
      </c>
      <c r="C126" t="s">
        <v>23</v>
      </c>
      <c r="D126">
        <v>343</v>
      </c>
      <c r="E126" s="2">
        <v>293.35000600000001</v>
      </c>
      <c r="F126">
        <v>5.0000000000000001E-4</v>
      </c>
      <c r="G126" s="2">
        <v>293.49668100299999</v>
      </c>
      <c r="H126" s="2">
        <f>-Operaciones_table[[#This Row],[Precio Ejecutado]]*Operaciones_table[[#This Row],[Cantidad]]</f>
        <v>-100669.361584029</v>
      </c>
    </row>
    <row r="127" spans="1:8" x14ac:dyDescent="0.25">
      <c r="A127" s="4">
        <v>46143</v>
      </c>
      <c r="B127" t="s">
        <v>35</v>
      </c>
      <c r="C127" t="s">
        <v>23</v>
      </c>
      <c r="D127">
        <v>824</v>
      </c>
      <c r="E127" s="2">
        <v>273</v>
      </c>
      <c r="F127">
        <v>5.0000000000000001E-4</v>
      </c>
      <c r="G127" s="2">
        <v>273.13650000000001</v>
      </c>
      <c r="H127" s="2">
        <f>-Operaciones_table[[#This Row],[Precio Ejecutado]]*Operaciones_table[[#This Row],[Cantidad]]</f>
        <v>-225064.47600000002</v>
      </c>
    </row>
    <row r="128" spans="1:8" x14ac:dyDescent="0.25">
      <c r="A128" s="4">
        <v>46143</v>
      </c>
      <c r="B128" t="s">
        <v>16</v>
      </c>
      <c r="C128" t="s">
        <v>23</v>
      </c>
      <c r="D128">
        <v>11411</v>
      </c>
      <c r="E128" s="2">
        <v>26.5</v>
      </c>
      <c r="F128">
        <v>5.0000000000000001E-4</v>
      </c>
      <c r="G128" s="2">
        <v>26.513249999999999</v>
      </c>
      <c r="H128" s="2">
        <f>-Operaciones_table[[#This Row],[Precio Ejecutado]]*Operaciones_table[[#This Row],[Cantidad]]</f>
        <v>-302542.69575000001</v>
      </c>
    </row>
    <row r="129" spans="1:8" x14ac:dyDescent="0.25">
      <c r="A129" s="4">
        <v>46143</v>
      </c>
      <c r="B129" t="s">
        <v>37</v>
      </c>
      <c r="C129" t="s">
        <v>23</v>
      </c>
      <c r="D129">
        <v>14533</v>
      </c>
      <c r="E129" s="2">
        <v>10.3800001144409</v>
      </c>
      <c r="F129">
        <v>5.0000000000000001E-4</v>
      </c>
      <c r="G129" s="2">
        <v>10.3851901144981</v>
      </c>
      <c r="H129" s="2">
        <f>-Operaciones_table[[#This Row],[Precio Ejecutado]]*Operaciones_table[[#This Row],[Cantidad]]</f>
        <v>-150927.96793400089</v>
      </c>
    </row>
    <row r="130" spans="1:8" x14ac:dyDescent="0.25">
      <c r="A130" s="4">
        <v>46143</v>
      </c>
      <c r="B130" t="s">
        <v>27</v>
      </c>
      <c r="C130" t="s">
        <v>23</v>
      </c>
      <c r="D130">
        <v>130</v>
      </c>
      <c r="E130" s="2">
        <v>1623.5</v>
      </c>
      <c r="F130">
        <v>5.0000000000000001E-4</v>
      </c>
      <c r="G130" s="2">
        <v>1624.3117499999901</v>
      </c>
      <c r="H130" s="2">
        <f>-Operaciones_table[[#This Row],[Precio Ejecutado]]*Operaciones_table[[#This Row],[Cantidad]]</f>
        <v>-211160.52749999872</v>
      </c>
    </row>
    <row r="131" spans="1:8" x14ac:dyDescent="0.25">
      <c r="A131" s="4">
        <v>46143</v>
      </c>
      <c r="B131" t="s">
        <v>45</v>
      </c>
      <c r="C131" t="s">
        <v>23</v>
      </c>
      <c r="D131">
        <v>4104</v>
      </c>
      <c r="E131" s="2">
        <v>89.230003356933594</v>
      </c>
      <c r="F131">
        <v>5.0000000000000001E-4</v>
      </c>
      <c r="G131" s="2">
        <v>89.274618358612003</v>
      </c>
      <c r="H131" s="2">
        <f>-Operaciones_table[[#This Row],[Precio Ejecutado]]*Operaciones_table[[#This Row],[Cantidad]]</f>
        <v>-366383.03374374367</v>
      </c>
    </row>
    <row r="132" spans="1:8" x14ac:dyDescent="0.25">
      <c r="A132" s="4">
        <v>46143</v>
      </c>
      <c r="B132" t="s">
        <v>6</v>
      </c>
      <c r="C132" t="s">
        <v>23</v>
      </c>
      <c r="D132">
        <v>380</v>
      </c>
      <c r="E132" s="2">
        <v>180.58000183105401</v>
      </c>
      <c r="F132">
        <v>5.0000000000000001E-4</v>
      </c>
      <c r="G132" s="2">
        <v>180.67029183196999</v>
      </c>
      <c r="H132" s="2">
        <f>-Operaciones_table[[#This Row],[Precio Ejecutado]]*Operaciones_table[[#This Row],[Cantidad]]</f>
        <v>-68654.710896148594</v>
      </c>
    </row>
    <row r="133" spans="1:8" x14ac:dyDescent="0.25">
      <c r="A133" s="4">
        <v>46143</v>
      </c>
      <c r="B133" t="s">
        <v>9</v>
      </c>
      <c r="C133" t="s">
        <v>23</v>
      </c>
      <c r="D133">
        <v>1204</v>
      </c>
      <c r="E133" s="2">
        <v>41.069999694824197</v>
      </c>
      <c r="F133">
        <v>5.0000000000000001E-4</v>
      </c>
      <c r="G133" s="2">
        <v>41.090534694671597</v>
      </c>
      <c r="H133" s="2">
        <f>-Operaciones_table[[#This Row],[Precio Ejecutado]]*Operaciones_table[[#This Row],[Cantidad]]</f>
        <v>-49473.003772384604</v>
      </c>
    </row>
    <row r="134" spans="1:8" x14ac:dyDescent="0.25">
      <c r="A134" s="4">
        <v>46143</v>
      </c>
      <c r="B134" t="s">
        <v>25</v>
      </c>
      <c r="C134" t="s">
        <v>23</v>
      </c>
      <c r="D134">
        <v>9077</v>
      </c>
      <c r="E134" s="2">
        <v>24</v>
      </c>
      <c r="F134">
        <v>5.0000000000000001E-4</v>
      </c>
      <c r="G134" s="2">
        <v>24.012</v>
      </c>
      <c r="H134" s="2">
        <f>-Operaciones_table[[#This Row],[Precio Ejecutado]]*Operaciones_table[[#This Row],[Cantidad]]</f>
        <v>-217956.924</v>
      </c>
    </row>
    <row r="135" spans="1:8" x14ac:dyDescent="0.25">
      <c r="A135" s="4">
        <v>46143</v>
      </c>
      <c r="B135" t="s">
        <v>14</v>
      </c>
      <c r="C135" t="s">
        <v>23</v>
      </c>
      <c r="D135">
        <v>15813</v>
      </c>
      <c r="E135" s="2">
        <v>38.049999237060497</v>
      </c>
      <c r="F135">
        <v>5.0000000000000001E-4</v>
      </c>
      <c r="G135" s="2">
        <v>38.069024236678999</v>
      </c>
      <c r="H135" s="2">
        <f>-Operaciones_table[[#This Row],[Precio Ejecutado]]*Operaciones_table[[#This Row],[Cantidad]]</f>
        <v>-601985.48025460506</v>
      </c>
    </row>
    <row r="136" spans="1:8" x14ac:dyDescent="0.25">
      <c r="A136" s="4">
        <v>46143</v>
      </c>
      <c r="B136" t="s">
        <v>15</v>
      </c>
      <c r="C136" t="s">
        <v>23</v>
      </c>
      <c r="D136">
        <v>147</v>
      </c>
      <c r="E136" s="2">
        <v>958.5</v>
      </c>
      <c r="F136">
        <v>5.0000000000000001E-4</v>
      </c>
      <c r="G136" s="2">
        <v>958.97924999999998</v>
      </c>
      <c r="H136" s="2">
        <f>-Operaciones_table[[#This Row],[Precio Ejecutado]]*Operaciones_table[[#This Row],[Cantidad]]</f>
        <v>-140969.94975</v>
      </c>
    </row>
    <row r="137" spans="1:8" x14ac:dyDescent="0.25">
      <c r="A137" s="4">
        <v>46143</v>
      </c>
      <c r="B137" t="s">
        <v>5</v>
      </c>
      <c r="C137" t="s">
        <v>23</v>
      </c>
      <c r="D137">
        <v>101</v>
      </c>
      <c r="E137" s="2">
        <v>1222.40002441406</v>
      </c>
      <c r="F137">
        <v>5.0000000000000001E-4</v>
      </c>
      <c r="G137" s="2">
        <v>1223.01122442626</v>
      </c>
      <c r="H137" s="2">
        <f>-Operaciones_table[[#This Row],[Precio Ejecutado]]*Operaciones_table[[#This Row],[Cantidad]]</f>
        <v>-123524.13366705226</v>
      </c>
    </row>
    <row r="138" spans="1:8" x14ac:dyDescent="0.25">
      <c r="A138" s="4">
        <v>46143</v>
      </c>
      <c r="B138" t="s">
        <v>7</v>
      </c>
      <c r="C138" t="s">
        <v>23</v>
      </c>
      <c r="D138">
        <v>26551</v>
      </c>
      <c r="E138" s="2">
        <v>18.809999465942301</v>
      </c>
      <c r="F138">
        <v>5.0000000000000001E-4</v>
      </c>
      <c r="G138" s="2">
        <v>18.819404465675301</v>
      </c>
      <c r="H138" s="2">
        <f>-Operaciones_table[[#This Row],[Precio Ejecutado]]*Operaciones_table[[#This Row],[Cantidad]]</f>
        <v>-499674.00796814496</v>
      </c>
    </row>
    <row r="139" spans="1:8" x14ac:dyDescent="0.25">
      <c r="A139" s="4">
        <v>46143</v>
      </c>
      <c r="B139" t="s">
        <v>13</v>
      </c>
      <c r="C139" t="s">
        <v>26</v>
      </c>
      <c r="D139">
        <v>-1215</v>
      </c>
      <c r="E139" s="2">
        <v>66.419998168945298</v>
      </c>
      <c r="F139">
        <v>5.0000000000000001E-4</v>
      </c>
      <c r="G139" s="2">
        <v>66.386788169860793</v>
      </c>
      <c r="H139" s="2">
        <f>-Operaciones_table[[#This Row],[Precio Ejecutado]]*Operaciones_table[[#This Row],[Cantidad]]</f>
        <v>80659.947626380861</v>
      </c>
    </row>
    <row r="140" spans="1:8" x14ac:dyDescent="0.25">
      <c r="A140" s="4">
        <v>46143</v>
      </c>
      <c r="B140" t="s">
        <v>10</v>
      </c>
      <c r="C140" t="s">
        <v>26</v>
      </c>
      <c r="D140">
        <v>-96</v>
      </c>
      <c r="E140" s="2">
        <v>145.5</v>
      </c>
      <c r="F140">
        <v>5.0000000000000001E-4</v>
      </c>
      <c r="G140" s="2">
        <v>145.42724999999999</v>
      </c>
      <c r="H140" s="2">
        <f>-Operaciones_table[[#This Row],[Precio Ejecutado]]*Operaciones_table[[#This Row],[Cantidad]]</f>
        <v>13961.016</v>
      </c>
    </row>
    <row r="141" spans="1:8" x14ac:dyDescent="0.25">
      <c r="A141" s="4">
        <v>46143</v>
      </c>
      <c r="B141" t="s">
        <v>33</v>
      </c>
      <c r="C141" t="s">
        <v>26</v>
      </c>
      <c r="D141">
        <v>-4731</v>
      </c>
      <c r="E141" s="2">
        <v>79.290000915527301</v>
      </c>
      <c r="F141">
        <v>5.0000000000000001E-4</v>
      </c>
      <c r="G141" s="2">
        <v>79.250355915069505</v>
      </c>
      <c r="H141" s="2">
        <f>-Operaciones_table[[#This Row],[Precio Ejecutado]]*Operaciones_table[[#This Row],[Cantidad]]</f>
        <v>374933.43383419386</v>
      </c>
    </row>
    <row r="142" spans="1:8" x14ac:dyDescent="0.25">
      <c r="A142" s="4">
        <v>46143</v>
      </c>
      <c r="B142" t="s">
        <v>36</v>
      </c>
      <c r="C142" t="s">
        <v>26</v>
      </c>
      <c r="D142">
        <v>-28804</v>
      </c>
      <c r="E142" s="2">
        <v>24.754999160766602</v>
      </c>
      <c r="F142">
        <v>5.0000000000000001E-4</v>
      </c>
      <c r="G142" s="2">
        <v>24.742621661186199</v>
      </c>
      <c r="H142" s="2">
        <f>-Operaciones_table[[#This Row],[Precio Ejecutado]]*Operaciones_table[[#This Row],[Cantidad]]</f>
        <v>712686.47432880732</v>
      </c>
    </row>
    <row r="143" spans="1:8" x14ac:dyDescent="0.25">
      <c r="A143" s="4">
        <v>46143</v>
      </c>
      <c r="B143" t="s">
        <v>8</v>
      </c>
      <c r="C143" t="s">
        <v>26</v>
      </c>
      <c r="D143">
        <v>-2741</v>
      </c>
      <c r="E143" s="2">
        <v>147.39999389648401</v>
      </c>
      <c r="F143">
        <v>5.0000000000000001E-4</v>
      </c>
      <c r="G143" s="2">
        <v>147.32629389953601</v>
      </c>
      <c r="H143" s="2">
        <f>-Operaciones_table[[#This Row],[Precio Ejecutado]]*Operaciones_table[[#This Row],[Cantidad]]</f>
        <v>403821.3715786282</v>
      </c>
    </row>
    <row r="144" spans="1:8" x14ac:dyDescent="0.25">
      <c r="A144" s="4">
        <v>46143</v>
      </c>
      <c r="B144" t="s">
        <v>38</v>
      </c>
      <c r="C144" t="s">
        <v>26</v>
      </c>
      <c r="D144">
        <v>-27800</v>
      </c>
      <c r="E144" s="2">
        <v>50.580001831054602</v>
      </c>
      <c r="F144">
        <v>5.0000000000000001E-4</v>
      </c>
      <c r="G144" s="2">
        <v>50.554711830139098</v>
      </c>
      <c r="H144" s="2">
        <f>-Operaciones_table[[#This Row],[Precio Ejecutado]]*Operaciones_table[[#This Row],[Cantidad]]</f>
        <v>1405420.9888778669</v>
      </c>
    </row>
    <row r="145" spans="1:8" x14ac:dyDescent="0.25">
      <c r="A145" s="4">
        <v>46143</v>
      </c>
      <c r="B145" t="s">
        <v>17</v>
      </c>
      <c r="C145" t="s">
        <v>26</v>
      </c>
      <c r="D145">
        <v>-7</v>
      </c>
      <c r="E145" s="2">
        <v>1355.80004882812</v>
      </c>
      <c r="F145">
        <v>5.0000000000000001E-4</v>
      </c>
      <c r="G145" s="2">
        <v>1355.1221488037099</v>
      </c>
      <c r="H145" s="2">
        <f>-Operaciones_table[[#This Row],[Precio Ejecutado]]*Operaciones_table[[#This Row],[Cantidad]]</f>
        <v>9485.8550416259695</v>
      </c>
    </row>
    <row r="146" spans="1:8" x14ac:dyDescent="0.25">
      <c r="A146" s="4">
        <v>46143</v>
      </c>
      <c r="B146" t="s">
        <v>32</v>
      </c>
      <c r="C146" t="s">
        <v>26</v>
      </c>
      <c r="D146">
        <v>-3779</v>
      </c>
      <c r="E146" s="2">
        <v>57.130001068115199</v>
      </c>
      <c r="F146">
        <v>5.0000000000000001E-4</v>
      </c>
      <c r="G146" s="2">
        <v>57.101436067581098</v>
      </c>
      <c r="H146" s="2">
        <f>-Operaciones_table[[#This Row],[Precio Ejecutado]]*Operaciones_table[[#This Row],[Cantidad]]</f>
        <v>215786.32689938898</v>
      </c>
    </row>
  </sheetData>
  <pageMargins left="0.7" right="0.7" top="0.75" bottom="0.75" header="0.3" footer="0.3"/>
  <pageSetup paperSize="9" orientation="portrait" horizontalDpi="0" verticalDpi="0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D99D-6D96-4747-86B3-66E6AFFFF3C9}">
  <dimension ref="A1:F5"/>
  <sheetViews>
    <sheetView workbookViewId="0">
      <selection activeCell="F3" sqref="F3"/>
    </sheetView>
  </sheetViews>
  <sheetFormatPr defaultRowHeight="15" x14ac:dyDescent="0.25"/>
  <cols>
    <col min="1" max="1" width="10.875" style="4" bestFit="1" customWidth="1"/>
    <col min="2" max="2" width="14" bestFit="1" customWidth="1"/>
    <col min="5" max="5" width="11.125" bestFit="1" customWidth="1"/>
  </cols>
  <sheetData>
    <row r="1" spans="1:6" x14ac:dyDescent="0.25">
      <c r="A1" s="4" t="s">
        <v>22</v>
      </c>
      <c r="B1" t="s">
        <v>24</v>
      </c>
      <c r="E1" t="s">
        <v>22</v>
      </c>
    </row>
    <row r="2" spans="1:6" x14ac:dyDescent="0.25">
      <c r="A2" s="4" t="e" cm="1">
        <f t="array" aca="1" ref="A2:A5" ca="1">_xlfn.UNIQUE(Operaciones_table[Fecha])</f>
        <v>#NAME?</v>
      </c>
      <c r="B2" s="5" t="e" cm="1">
        <f t="array" aca="1" ref="B2" ca="1">SUMPRODUCT(_xlfn._xlws.FILTER(Operaciones_table[Cantidad],Operaciones_table[Fecha]='Valor cartera'!A2),_xlfn._xlws.FILTER(Operaciones_table[Precio],Operaciones_table[Fecha]='Valor cartera'!A2))</f>
        <v>#NAME?</v>
      </c>
      <c r="E2" t="s">
        <v>31</v>
      </c>
      <c r="F2" t="s">
        <v>30</v>
      </c>
    </row>
    <row r="3" spans="1:6" x14ac:dyDescent="0.25">
      <c r="A3" s="4" t="e">
        <f ca="1"/>
        <v>#NAME?</v>
      </c>
      <c r="B3" s="5" t="e" cm="1">
        <f t="array" aca="1" ref="B3" ca="1">SUMPRODUCT(_xlfn._xlws.FILTER(Operaciones_table[Cantidad],Operaciones_table[Fecha]=A3),_xlfn._xlws.FILTER(Operaciones_table[Precio],Operaciones_table[Fecha]=A3))</f>
        <v>#NAME?</v>
      </c>
    </row>
    <row r="4" spans="1:6" x14ac:dyDescent="0.25">
      <c r="A4" s="4" t="e">
        <f ca="1"/>
        <v>#NAME?</v>
      </c>
      <c r="B4" s="5" t="e" cm="1">
        <f t="array" aca="1" ref="B4" ca="1">B3+SUMPRODUCT(_xlfn._xlws.FILTER(Operaciones_table[Cantidad],Operaciones_table[Fecha]='Valor cartera'!A4),_xlfn._xlws.FILTER(Operaciones_table[Precio],Operaciones_table[Fecha]='Valor cartera'!A4))</f>
        <v>#NAME?</v>
      </c>
    </row>
    <row r="5" spans="1:6" x14ac:dyDescent="0.25">
      <c r="A5" s="4" t="e">
        <f ca="1"/>
        <v>#NAME?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Operativa</vt:lpstr>
      <vt:lpstr>Valor 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Javier Puerta Gómez</cp:lastModifiedBy>
  <dcterms:created xsi:type="dcterms:W3CDTF">2015-06-05T18:17:20Z</dcterms:created>
  <dcterms:modified xsi:type="dcterms:W3CDTF">2026-05-01T17:55:15Z</dcterms:modified>
</cp:coreProperties>
</file>